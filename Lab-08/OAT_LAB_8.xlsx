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llage\Prince_OAT\Lab\Lab-8\"/>
    </mc:Choice>
  </mc:AlternateContent>
  <xr:revisionPtr revIDLastSave="0" documentId="13_ncr:1_{5C548CE3-95FC-4212-B9D1-FA935EA16EDE}" xr6:coauthVersionLast="47" xr6:coauthVersionMax="47" xr10:uidLastSave="{00000000-0000-0000-0000-000000000000}"/>
  <bookViews>
    <workbookView xWindow="-120" yWindow="-120" windowWidth="29040" windowHeight="15720" xr2:uid="{B3D03BA2-8B9B-4CC4-BE8C-B2FC8891332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1" i="1"/>
  <c r="N12" i="1"/>
  <c r="N13" i="1"/>
  <c r="N14" i="1"/>
  <c r="N15" i="1"/>
  <c r="N11" i="1"/>
  <c r="M12" i="1"/>
  <c r="M13" i="1"/>
  <c r="M14" i="1"/>
  <c r="M15" i="1"/>
  <c r="M11" i="1"/>
  <c r="L12" i="1"/>
  <c r="L13" i="1"/>
  <c r="L14" i="1"/>
  <c r="L15" i="1"/>
  <c r="L11" i="1"/>
  <c r="J12" i="1"/>
  <c r="J13" i="1"/>
  <c r="J14" i="1"/>
  <c r="J15" i="1"/>
  <c r="J11" i="1"/>
  <c r="C25" i="1"/>
  <c r="D25" i="1"/>
  <c r="E25" i="1"/>
  <c r="F25" i="1"/>
  <c r="B25" i="1"/>
  <c r="F12" i="1"/>
  <c r="F13" i="1"/>
  <c r="F14" i="1"/>
  <c r="F15" i="1"/>
  <c r="F11" i="1"/>
  <c r="F3" i="1"/>
  <c r="F4" i="1"/>
  <c r="F5" i="1"/>
  <c r="F6" i="1"/>
  <c r="F2" i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2" i="2"/>
  <c r="O3" i="2"/>
  <c r="O4" i="2"/>
  <c r="P4" i="2" s="1"/>
  <c r="O5" i="2"/>
  <c r="P5" i="2" s="1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O12" i="2"/>
  <c r="P12" i="2" s="1"/>
  <c r="O13" i="2"/>
  <c r="O14" i="2"/>
  <c r="P14" i="2" s="1"/>
  <c r="O15" i="2"/>
  <c r="P15" i="2" s="1"/>
  <c r="O16" i="2"/>
  <c r="P16" i="2" s="1"/>
  <c r="O2" i="2"/>
  <c r="P2" i="2" s="1"/>
  <c r="P3" i="2"/>
  <c r="P13" i="2"/>
  <c r="I5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2" i="2"/>
  <c r="E19" i="2"/>
  <c r="E18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2" i="2"/>
  <c r="I3" i="2"/>
  <c r="I4" i="2"/>
  <c r="I6" i="2"/>
  <c r="I7" i="2"/>
  <c r="I8" i="2"/>
  <c r="I9" i="2"/>
  <c r="I10" i="2"/>
  <c r="I11" i="2"/>
  <c r="I12" i="2"/>
  <c r="I13" i="2"/>
  <c r="I14" i="2"/>
  <c r="I15" i="2"/>
  <c r="I16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2" i="2"/>
  <c r="E12" i="1"/>
  <c r="E13" i="1"/>
  <c r="E14" i="1"/>
  <c r="E15" i="1"/>
  <c r="E11" i="1"/>
  <c r="D12" i="1"/>
  <c r="D13" i="1"/>
  <c r="D14" i="1"/>
  <c r="D15" i="1"/>
  <c r="D11" i="1"/>
  <c r="C12" i="1"/>
  <c r="C13" i="1"/>
  <c r="C14" i="1"/>
  <c r="C15" i="1"/>
  <c r="C11" i="1"/>
  <c r="B12" i="1"/>
  <c r="B13" i="1"/>
  <c r="B14" i="1"/>
  <c r="B15" i="1"/>
  <c r="B11" i="1"/>
  <c r="E20" i="2" l="1"/>
</calcChain>
</file>

<file path=xl/sharedStrings.xml><?xml version="1.0" encoding="utf-8"?>
<sst xmlns="http://schemas.openxmlformats.org/spreadsheetml/2006/main" count="75" uniqueCount="47">
  <si>
    <t>Roll No.</t>
  </si>
  <si>
    <t>Sub-1</t>
  </si>
  <si>
    <t>Sub-2</t>
  </si>
  <si>
    <t>Sub-4</t>
  </si>
  <si>
    <t>Sub-3</t>
  </si>
  <si>
    <t>Total</t>
  </si>
  <si>
    <t>Percentage</t>
  </si>
  <si>
    <t>Grade</t>
  </si>
  <si>
    <t>Min</t>
  </si>
  <si>
    <t>Max</t>
  </si>
  <si>
    <t>Upper</t>
  </si>
  <si>
    <t>Lower</t>
  </si>
  <si>
    <t>Proper</t>
  </si>
  <si>
    <t>Average</t>
  </si>
  <si>
    <t>Count</t>
  </si>
  <si>
    <t>Counta</t>
  </si>
  <si>
    <t>Concat</t>
  </si>
  <si>
    <t>Trim</t>
  </si>
  <si>
    <t>Countif</t>
  </si>
  <si>
    <t>First Name</t>
  </si>
  <si>
    <t>Last Name</t>
  </si>
  <si>
    <t>Aarav</t>
  </si>
  <si>
    <t>patel</t>
  </si>
  <si>
    <t>Arjun</t>
  </si>
  <si>
    <t>mehta</t>
  </si>
  <si>
    <t>Diya</t>
  </si>
  <si>
    <t>desai</t>
  </si>
  <si>
    <t>Kavya</t>
  </si>
  <si>
    <t>Rahul</t>
  </si>
  <si>
    <t>kumar</t>
  </si>
  <si>
    <t>Sneha</t>
  </si>
  <si>
    <t>Yash</t>
  </si>
  <si>
    <t>joshi</t>
  </si>
  <si>
    <t>Vivek</t>
  </si>
  <si>
    <t>dave</t>
  </si>
  <si>
    <t>Rohan</t>
  </si>
  <si>
    <t>Priya</t>
  </si>
  <si>
    <t>Jeel</t>
  </si>
  <si>
    <t>galani</t>
  </si>
  <si>
    <t>Jay</t>
  </si>
  <si>
    <t>ajani</t>
  </si>
  <si>
    <t>Vishvam</t>
  </si>
  <si>
    <t>hapaliya</t>
  </si>
  <si>
    <t>Mukesh</t>
  </si>
  <si>
    <t>ambani</t>
  </si>
  <si>
    <t>Karan</t>
  </si>
  <si>
    <t>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</si>
</sst>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DC9FC-77C3-4889-AD6B-ADCE2E9B3DE5}">
  <dimension ref="A1:N32"/>
  <sheetViews>
    <sheetView tabSelected="1" workbookViewId="0">
      <selection activeCell="C4" sqref="C4"/>
    </sheetView>
  </sheetViews>
  <sheetFormatPr defaultRowHeight="15" x14ac:dyDescent="0.25"/>
  <cols>
    <col min="1" max="8" width="11.7109375" customWidth="1"/>
    <col min="9" max="9" width="11.5703125" customWidth="1"/>
    <col min="10" max="10" width="11.140625" customWidth="1"/>
    <col min="11" max="11" width="11.28515625" customWidth="1"/>
    <col min="12" max="12" width="12.7109375" customWidth="1"/>
    <col min="13" max="13" width="12.140625" customWidth="1"/>
    <col min="14" max="14" width="12.28515625" customWidth="1"/>
  </cols>
  <sheetData>
    <row r="1" spans="1:14" ht="15.75" x14ac:dyDescent="0.25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  <c r="F1" s="3" t="s">
        <v>5</v>
      </c>
      <c r="G1" s="3"/>
      <c r="H1" s="3"/>
    </row>
    <row r="2" spans="1:14" x14ac:dyDescent="0.25">
      <c r="A2" s="1">
        <v>101</v>
      </c>
      <c r="B2" s="2">
        <v>85</v>
      </c>
      <c r="C2" s="2">
        <v>78</v>
      </c>
      <c r="D2" s="2">
        <v>90</v>
      </c>
      <c r="E2" s="2">
        <v>88</v>
      </c>
      <c r="F2">
        <f>SUM(B2:E2)</f>
        <v>341</v>
      </c>
    </row>
    <row r="3" spans="1:14" x14ac:dyDescent="0.25">
      <c r="A3" s="1">
        <v>102</v>
      </c>
      <c r="B3" s="2">
        <v>65</v>
      </c>
      <c r="C3" s="2">
        <v>70</v>
      </c>
      <c r="D3" s="2">
        <v>60</v>
      </c>
      <c r="E3" s="2">
        <v>72</v>
      </c>
      <c r="F3">
        <f t="shared" ref="F3:F6" si="0">SUM(B3:E3)</f>
        <v>267</v>
      </c>
    </row>
    <row r="4" spans="1:14" x14ac:dyDescent="0.25">
      <c r="A4" s="1">
        <v>103</v>
      </c>
      <c r="B4" s="2">
        <v>92</v>
      </c>
      <c r="C4" s="2">
        <v>89</v>
      </c>
      <c r="D4" s="2">
        <v>95</v>
      </c>
      <c r="E4" s="2">
        <v>94</v>
      </c>
      <c r="F4">
        <f t="shared" si="0"/>
        <v>370</v>
      </c>
    </row>
    <row r="5" spans="1:14" x14ac:dyDescent="0.25">
      <c r="A5" s="1">
        <v>104</v>
      </c>
      <c r="B5" s="2">
        <v>55</v>
      </c>
      <c r="C5" s="2">
        <v>60</v>
      </c>
      <c r="D5" s="2">
        <v>58</v>
      </c>
      <c r="E5" s="2">
        <v>62</v>
      </c>
      <c r="F5">
        <f t="shared" si="0"/>
        <v>235</v>
      </c>
    </row>
    <row r="6" spans="1:14" x14ac:dyDescent="0.25">
      <c r="A6" s="1">
        <v>105</v>
      </c>
      <c r="B6" s="2">
        <v>75</v>
      </c>
      <c r="C6" s="2">
        <v>80</v>
      </c>
      <c r="D6" s="2">
        <v>78</v>
      </c>
      <c r="E6" s="2">
        <v>82</v>
      </c>
      <c r="F6">
        <f t="shared" si="0"/>
        <v>315</v>
      </c>
    </row>
    <row r="10" spans="1:14" ht="15.75" x14ac:dyDescent="0.25">
      <c r="A10" s="3" t="s">
        <v>0</v>
      </c>
      <c r="B10" s="3" t="s">
        <v>1</v>
      </c>
      <c r="C10" s="3" t="s">
        <v>2</v>
      </c>
      <c r="D10" s="3" t="s">
        <v>4</v>
      </c>
      <c r="E10" s="3" t="s">
        <v>3</v>
      </c>
      <c r="F10" s="3" t="s">
        <v>5</v>
      </c>
      <c r="G10" s="3"/>
      <c r="H10" s="3"/>
      <c r="I10" s="3" t="s">
        <v>0</v>
      </c>
      <c r="J10" s="3" t="s">
        <v>1</v>
      </c>
      <c r="K10" s="3" t="s">
        <v>2</v>
      </c>
      <c r="L10" s="3" t="s">
        <v>4</v>
      </c>
      <c r="M10" s="3" t="s">
        <v>3</v>
      </c>
      <c r="N10" s="3" t="s">
        <v>5</v>
      </c>
    </row>
    <row r="11" spans="1:14" x14ac:dyDescent="0.25">
      <c r="A11" s="1">
        <v>101</v>
      </c>
      <c r="B11">
        <f>VLOOKUP(A11,$A$1:$H$6,2,FALSE)</f>
        <v>85</v>
      </c>
      <c r="C11">
        <f>VLOOKUP(A11,$A$1:$H$6,3,FALSE)</f>
        <v>78</v>
      </c>
      <c r="D11">
        <f>VLOOKUP(A11,$A$1:$H$6,4,FALSE)</f>
        <v>90</v>
      </c>
      <c r="E11">
        <f>VLOOKUP(A11,$A$1:$H$6,5,FALSE)</f>
        <v>88</v>
      </c>
      <c r="F11">
        <f>SUM(B11:E11)</f>
        <v>341</v>
      </c>
      <c r="I11" s="1">
        <v>101</v>
      </c>
      <c r="J11">
        <f>HLOOKUP(I11,$A$20:$F$25,2,FALSE)</f>
        <v>85</v>
      </c>
      <c r="K11">
        <f>HLOOKUP(I11,$A$20:$F$25,3,FALSE)</f>
        <v>86</v>
      </c>
      <c r="L11">
        <f>HLOOKUP(I11,$A$20:$F$25,4,FALSE)</f>
        <v>87</v>
      </c>
      <c r="M11">
        <f>HLOOKUP(I11,$A$20:$F$25,5,FALSE)</f>
        <v>88</v>
      </c>
      <c r="N11">
        <f>HLOOKUP(I11,$A$20:$F$25,6,FALSE)</f>
        <v>346</v>
      </c>
    </row>
    <row r="12" spans="1:14" x14ac:dyDescent="0.25">
      <c r="A12" s="1">
        <v>102</v>
      </c>
      <c r="B12">
        <f t="shared" ref="B12:B15" si="1">VLOOKUP(A12,$A$1:$H$6,2,FALSE)</f>
        <v>65</v>
      </c>
      <c r="C12">
        <f t="shared" ref="C12:C15" si="2">VLOOKUP(A12,$A$1:$H$6,3,FALSE)</f>
        <v>70</v>
      </c>
      <c r="D12">
        <f t="shared" ref="D12:D15" si="3">VLOOKUP(A12,$A$1:$H$6,4,FALSE)</f>
        <v>60</v>
      </c>
      <c r="E12">
        <f t="shared" ref="E12:E15" si="4">VLOOKUP(A12,$A$1:$H$6,5,FALSE)</f>
        <v>72</v>
      </c>
      <c r="F12">
        <f t="shared" ref="F12:F15" si="5">SUM(B12:E12)</f>
        <v>267</v>
      </c>
      <c r="I12" s="1">
        <v>102</v>
      </c>
      <c r="J12">
        <f t="shared" ref="J12:J15" si="6">HLOOKUP(I12,$A$20:$F$25,2,FALSE)</f>
        <v>61</v>
      </c>
      <c r="K12">
        <f t="shared" ref="K12:K15" si="7">HLOOKUP(I12,$A$20:$F$25,3,FALSE)</f>
        <v>62</v>
      </c>
      <c r="L12">
        <f t="shared" ref="L12:L15" si="8">HLOOKUP(I12,$A$20:$F$25,4,FALSE)</f>
        <v>63</v>
      </c>
      <c r="M12">
        <f t="shared" ref="M12:M15" si="9">HLOOKUP(I12,$A$20:$F$25,5,FALSE)</f>
        <v>64</v>
      </c>
      <c r="N12">
        <f t="shared" ref="N12:N15" si="10">HLOOKUP(I12,$A$20:$F$25,6,FALSE)</f>
        <v>250</v>
      </c>
    </row>
    <row r="13" spans="1:14" x14ac:dyDescent="0.25">
      <c r="A13" s="1">
        <v>103</v>
      </c>
      <c r="B13">
        <f t="shared" si="1"/>
        <v>92</v>
      </c>
      <c r="C13">
        <f t="shared" si="2"/>
        <v>89</v>
      </c>
      <c r="D13">
        <f t="shared" si="3"/>
        <v>95</v>
      </c>
      <c r="E13">
        <f t="shared" si="4"/>
        <v>94</v>
      </c>
      <c r="F13">
        <f t="shared" si="5"/>
        <v>370</v>
      </c>
      <c r="I13" s="1">
        <v>103</v>
      </c>
      <c r="J13">
        <f t="shared" si="6"/>
        <v>78</v>
      </c>
      <c r="K13">
        <f t="shared" si="7"/>
        <v>79</v>
      </c>
      <c r="L13">
        <f t="shared" si="8"/>
        <v>80</v>
      </c>
      <c r="M13">
        <f t="shared" si="9"/>
        <v>81</v>
      </c>
      <c r="N13">
        <f t="shared" si="10"/>
        <v>318</v>
      </c>
    </row>
    <row r="14" spans="1:14" x14ac:dyDescent="0.25">
      <c r="A14" s="1">
        <v>104</v>
      </c>
      <c r="B14">
        <f t="shared" si="1"/>
        <v>55</v>
      </c>
      <c r="C14">
        <f t="shared" si="2"/>
        <v>60</v>
      </c>
      <c r="D14">
        <f t="shared" si="3"/>
        <v>58</v>
      </c>
      <c r="E14">
        <f t="shared" si="4"/>
        <v>62</v>
      </c>
      <c r="F14">
        <f t="shared" si="5"/>
        <v>235</v>
      </c>
      <c r="I14" s="1">
        <v>104</v>
      </c>
      <c r="J14">
        <f t="shared" si="6"/>
        <v>67</v>
      </c>
      <c r="K14">
        <f t="shared" si="7"/>
        <v>68</v>
      </c>
      <c r="L14">
        <f t="shared" si="8"/>
        <v>69</v>
      </c>
      <c r="M14">
        <f t="shared" si="9"/>
        <v>70</v>
      </c>
      <c r="N14">
        <f t="shared" si="10"/>
        <v>274</v>
      </c>
    </row>
    <row r="15" spans="1:14" x14ac:dyDescent="0.25">
      <c r="A15" s="1">
        <v>105</v>
      </c>
      <c r="B15">
        <f t="shared" si="1"/>
        <v>75</v>
      </c>
      <c r="C15">
        <f t="shared" si="2"/>
        <v>80</v>
      </c>
      <c r="D15">
        <f t="shared" si="3"/>
        <v>78</v>
      </c>
      <c r="E15">
        <f t="shared" si="4"/>
        <v>82</v>
      </c>
      <c r="F15">
        <f t="shared" si="5"/>
        <v>315</v>
      </c>
      <c r="I15" s="1">
        <v>105</v>
      </c>
      <c r="J15">
        <f t="shared" si="6"/>
        <v>87</v>
      </c>
      <c r="K15">
        <f t="shared" si="7"/>
        <v>88</v>
      </c>
      <c r="L15">
        <f t="shared" si="8"/>
        <v>89</v>
      </c>
      <c r="M15">
        <f t="shared" si="9"/>
        <v>90</v>
      </c>
      <c r="N15">
        <f t="shared" si="10"/>
        <v>354</v>
      </c>
    </row>
    <row r="20" spans="1:6" ht="15.75" x14ac:dyDescent="0.25">
      <c r="A20" s="3" t="s">
        <v>0</v>
      </c>
      <c r="B20" s="1">
        <v>101</v>
      </c>
      <c r="C20" s="1">
        <v>102</v>
      </c>
      <c r="D20" s="1">
        <v>103</v>
      </c>
      <c r="E20" s="1">
        <v>104</v>
      </c>
      <c r="F20" s="1">
        <v>105</v>
      </c>
    </row>
    <row r="21" spans="1:6" ht="15.75" x14ac:dyDescent="0.25">
      <c r="A21" s="3" t="s">
        <v>1</v>
      </c>
      <c r="B21" s="2">
        <v>85</v>
      </c>
      <c r="C21" s="2">
        <v>61</v>
      </c>
      <c r="D21" s="2">
        <v>78</v>
      </c>
      <c r="E21" s="2">
        <v>67</v>
      </c>
      <c r="F21" s="2">
        <v>87</v>
      </c>
    </row>
    <row r="22" spans="1:6" ht="15.75" x14ac:dyDescent="0.25">
      <c r="A22" s="3" t="s">
        <v>2</v>
      </c>
      <c r="B22" s="2">
        <v>86</v>
      </c>
      <c r="C22" s="2">
        <v>62</v>
      </c>
      <c r="D22" s="2">
        <v>79</v>
      </c>
      <c r="E22" s="2">
        <v>68</v>
      </c>
      <c r="F22" s="2">
        <v>88</v>
      </c>
    </row>
    <row r="23" spans="1:6" ht="15.75" x14ac:dyDescent="0.25">
      <c r="A23" s="3" t="s">
        <v>4</v>
      </c>
      <c r="B23" s="2">
        <v>87</v>
      </c>
      <c r="C23" s="2">
        <v>63</v>
      </c>
      <c r="D23" s="2">
        <v>80</v>
      </c>
      <c r="E23" s="2">
        <v>69</v>
      </c>
      <c r="F23" s="2">
        <v>89</v>
      </c>
    </row>
    <row r="24" spans="1:6" ht="15.75" x14ac:dyDescent="0.25">
      <c r="A24" s="3" t="s">
        <v>3</v>
      </c>
      <c r="B24" s="2">
        <v>88</v>
      </c>
      <c r="C24" s="2">
        <v>64</v>
      </c>
      <c r="D24" s="2">
        <v>81</v>
      </c>
      <c r="E24" s="2">
        <v>70</v>
      </c>
      <c r="F24" s="2">
        <v>90</v>
      </c>
    </row>
    <row r="25" spans="1:6" ht="15.75" x14ac:dyDescent="0.25">
      <c r="A25" s="3" t="s">
        <v>5</v>
      </c>
      <c r="B25" s="2">
        <f>SUM(B21:B24)</f>
        <v>346</v>
      </c>
      <c r="C25" s="2">
        <f t="shared" ref="C25:F25" si="11">SUM(C21:C24)</f>
        <v>250</v>
      </c>
      <c r="D25" s="2">
        <f t="shared" si="11"/>
        <v>318</v>
      </c>
      <c r="E25" s="2">
        <f t="shared" si="11"/>
        <v>274</v>
      </c>
      <c r="F25" s="2">
        <f t="shared" si="11"/>
        <v>354</v>
      </c>
    </row>
    <row r="27" spans="1:6" ht="15.75" x14ac:dyDescent="0.25">
      <c r="A27" s="3"/>
      <c r="B27" s="1"/>
      <c r="C27" s="1"/>
      <c r="D27" s="1"/>
      <c r="E27" s="1"/>
      <c r="F27" s="1"/>
    </row>
    <row r="28" spans="1:6" ht="15.75" x14ac:dyDescent="0.25">
      <c r="A28" s="3"/>
    </row>
    <row r="29" spans="1:6" ht="15.75" x14ac:dyDescent="0.25">
      <c r="A29" s="3"/>
    </row>
    <row r="30" spans="1:6" ht="15.75" x14ac:dyDescent="0.25">
      <c r="A30" s="3"/>
    </row>
    <row r="31" spans="1:6" ht="15.75" x14ac:dyDescent="0.25">
      <c r="A31" s="3"/>
    </row>
    <row r="32" spans="1:6" ht="15.75" x14ac:dyDescent="0.25">
      <c r="A3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EE2A-2153-4047-933E-5EE6EDE48449}">
  <dimension ref="A1:R20"/>
  <sheetViews>
    <sheetView workbookViewId="0"/>
  </sheetViews>
  <sheetFormatPr defaultRowHeight="15" x14ac:dyDescent="0.25"/>
  <cols>
    <col min="1" max="1" width="13.42578125" customWidth="1"/>
    <col min="2" max="3" width="15.7109375" customWidth="1"/>
    <col min="4" max="7" width="10.7109375" customWidth="1"/>
    <col min="8" max="10" width="13.7109375" customWidth="1"/>
    <col min="11" max="14" width="15.7109375" customWidth="1"/>
    <col min="15" max="16" width="12.7109375" customWidth="1"/>
    <col min="17" max="18" width="15.7109375" customWidth="1"/>
  </cols>
  <sheetData>
    <row r="1" spans="1:18" ht="15.75" x14ac:dyDescent="0.25">
      <c r="A1" s="3" t="s">
        <v>0</v>
      </c>
      <c r="B1" s="3" t="s">
        <v>19</v>
      </c>
      <c r="C1" s="3" t="s">
        <v>20</v>
      </c>
      <c r="D1" s="3" t="s">
        <v>1</v>
      </c>
      <c r="E1" s="3" t="s">
        <v>2</v>
      </c>
      <c r="F1" s="3" t="s">
        <v>4</v>
      </c>
      <c r="G1" s="3" t="s">
        <v>3</v>
      </c>
      <c r="H1" s="3" t="s">
        <v>5</v>
      </c>
      <c r="I1" s="3" t="s">
        <v>6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7</v>
      </c>
      <c r="Q1" s="3" t="s">
        <v>16</v>
      </c>
      <c r="R1" s="3" t="s">
        <v>17</v>
      </c>
    </row>
    <row r="2" spans="1:18" x14ac:dyDescent="0.25">
      <c r="A2" s="1">
        <v>101</v>
      </c>
      <c r="B2" s="1" t="s">
        <v>21</v>
      </c>
      <c r="C2" s="1" t="s">
        <v>22</v>
      </c>
      <c r="D2" s="2">
        <v>85</v>
      </c>
      <c r="E2" s="2">
        <v>78</v>
      </c>
      <c r="F2" s="2">
        <v>90</v>
      </c>
      <c r="G2" s="2">
        <v>88</v>
      </c>
      <c r="H2" s="2">
        <f>SUM(D2:G2)</f>
        <v>341</v>
      </c>
      <c r="I2" s="4">
        <f>AVERAGE(D2:G2) / 100</f>
        <v>0.85250000000000004</v>
      </c>
      <c r="J2" s="2">
        <f>MIN(D2:G2)</f>
        <v>78</v>
      </c>
      <c r="K2" s="2">
        <f>MAX(D2:G2)</f>
        <v>90</v>
      </c>
      <c r="L2" s="2" t="str">
        <f>UPPER(B2)</f>
        <v>AARAV</v>
      </c>
      <c r="M2" s="2" t="str">
        <f>LOWER(B2)</f>
        <v>aarav</v>
      </c>
      <c r="N2" s="2" t="str">
        <f>PROPER(B2)</f>
        <v>Aarav</v>
      </c>
      <c r="O2" s="2">
        <f>AVERAGE(D2:G2)</f>
        <v>85.25</v>
      </c>
      <c r="P2" s="2" t="str">
        <f>IF(O2&gt;=90,"A+",IF(O2&gt;=80,"A",IF(O2&gt;=70,"B+",IF(O2&gt;=60,"B",IF(O2&gt;=50,"C+",IF(O2&gt;=40,"C",IF(O2&gt;=33,"FAIL",)))))))</f>
        <v>A</v>
      </c>
      <c r="Q2" s="2" t="str">
        <f t="shared" ref="Q2:Q16" si="0">CONCATENATE(A2,"-",B2)</f>
        <v>101-Aarav</v>
      </c>
      <c r="R2" s="2" t="str">
        <f>TRIM(B2)</f>
        <v>Aarav</v>
      </c>
    </row>
    <row r="3" spans="1:18" x14ac:dyDescent="0.25">
      <c r="A3" s="1">
        <v>102</v>
      </c>
      <c r="B3" s="1" t="s">
        <v>23</v>
      </c>
      <c r="C3" s="1" t="s">
        <v>24</v>
      </c>
      <c r="D3" s="2">
        <v>65</v>
      </c>
      <c r="E3" s="2">
        <v>70</v>
      </c>
      <c r="F3" s="2">
        <v>60</v>
      </c>
      <c r="G3" s="2">
        <v>72</v>
      </c>
      <c r="H3" s="2">
        <f t="shared" ref="H3:H16" si="1">SUM(D3:G3)</f>
        <v>267</v>
      </c>
      <c r="I3" s="4">
        <f t="shared" ref="I3:I16" si="2">AVERAGE(D3:G3) / 100</f>
        <v>0.66749999999999998</v>
      </c>
      <c r="J3" s="2">
        <f t="shared" ref="J3:J16" si="3">MIN(D3:G3)</f>
        <v>60</v>
      </c>
      <c r="K3" s="2">
        <f t="shared" ref="K3:K16" si="4">MAX(D3:G3)</f>
        <v>72</v>
      </c>
      <c r="L3" s="2" t="str">
        <f t="shared" ref="L3:L16" si="5">UPPER(B3)</f>
        <v>ARJUN</v>
      </c>
      <c r="M3" s="2" t="str">
        <f t="shared" ref="M3:M17" si="6">LOWER(B3)</f>
        <v>arjun</v>
      </c>
      <c r="N3" s="2" t="str">
        <f t="shared" ref="N3:N16" si="7">PROPER(B3)</f>
        <v>Arjun</v>
      </c>
      <c r="O3" s="2">
        <f t="shared" ref="O3:O16" si="8">AVERAGE(D3:G3)</f>
        <v>66.75</v>
      </c>
      <c r="P3" s="2" t="str">
        <f t="shared" ref="P3:P16" si="9">IF(O3&gt;=90,"A+",IF(O3&gt;=80,"A",IF(O3&gt;=70,"B+",IF(O3&gt;=60,"B",IF(O3&gt;=50,"C+",IF(O3&gt;=40,"C",IF(O3&gt;=33,"FAIL",)))))))</f>
        <v>B</v>
      </c>
      <c r="Q3" s="2" t="str">
        <f t="shared" si="0"/>
        <v>102-Arjun</v>
      </c>
      <c r="R3" s="2" t="str">
        <f t="shared" ref="R3:R16" si="10">TRIM(B3)</f>
        <v>Arjun</v>
      </c>
    </row>
    <row r="4" spans="1:18" x14ac:dyDescent="0.25">
      <c r="A4" s="1">
        <v>103</v>
      </c>
      <c r="B4" s="1" t="s">
        <v>25</v>
      </c>
      <c r="C4" s="1" t="s">
        <v>26</v>
      </c>
      <c r="D4" s="2">
        <v>92</v>
      </c>
      <c r="E4" s="2">
        <v>89</v>
      </c>
      <c r="F4" s="2">
        <v>95</v>
      </c>
      <c r="G4" s="2">
        <v>94</v>
      </c>
      <c r="H4" s="2">
        <f t="shared" si="1"/>
        <v>370</v>
      </c>
      <c r="I4" s="4">
        <f t="shared" si="2"/>
        <v>0.92500000000000004</v>
      </c>
      <c r="J4" s="2">
        <f t="shared" si="3"/>
        <v>89</v>
      </c>
      <c r="K4" s="2">
        <f t="shared" si="4"/>
        <v>95</v>
      </c>
      <c r="L4" s="2" t="str">
        <f t="shared" si="5"/>
        <v>DIYA</v>
      </c>
      <c r="M4" s="2" t="str">
        <f t="shared" si="6"/>
        <v>diya</v>
      </c>
      <c r="N4" s="2" t="str">
        <f t="shared" si="7"/>
        <v>Diya</v>
      </c>
      <c r="O4" s="2">
        <f t="shared" si="8"/>
        <v>92.5</v>
      </c>
      <c r="P4" s="2" t="str">
        <f t="shared" si="9"/>
        <v>A+</v>
      </c>
      <c r="Q4" s="2" t="str">
        <f t="shared" si="0"/>
        <v>103-Diya</v>
      </c>
      <c r="R4" s="2" t="str">
        <f t="shared" si="10"/>
        <v>Diya</v>
      </c>
    </row>
    <row r="5" spans="1:18" x14ac:dyDescent="0.25">
      <c r="A5" s="1">
        <v>104</v>
      </c>
      <c r="B5" s="1" t="s">
        <v>27</v>
      </c>
      <c r="C5" s="1" t="s">
        <v>22</v>
      </c>
      <c r="D5" s="2">
        <v>55</v>
      </c>
      <c r="E5" s="2">
        <v>60</v>
      </c>
      <c r="F5" s="2">
        <v>58</v>
      </c>
      <c r="G5" s="2">
        <v>62</v>
      </c>
      <c r="H5" s="2">
        <f t="shared" si="1"/>
        <v>235</v>
      </c>
      <c r="I5" s="4">
        <f t="shared" si="2"/>
        <v>0.58750000000000002</v>
      </c>
      <c r="J5" s="2">
        <f t="shared" si="3"/>
        <v>55</v>
      </c>
      <c r="K5" s="2">
        <f t="shared" si="4"/>
        <v>62</v>
      </c>
      <c r="L5" s="2" t="str">
        <f t="shared" si="5"/>
        <v>KAVYA</v>
      </c>
      <c r="M5" s="2" t="str">
        <f t="shared" si="6"/>
        <v>kavya</v>
      </c>
      <c r="N5" s="2" t="str">
        <f t="shared" si="7"/>
        <v>Kavya</v>
      </c>
      <c r="O5" s="2">
        <f t="shared" si="8"/>
        <v>58.75</v>
      </c>
      <c r="P5" s="2" t="str">
        <f t="shared" si="9"/>
        <v>C+</v>
      </c>
      <c r="Q5" s="2" t="str">
        <f t="shared" si="0"/>
        <v>104-Kavya</v>
      </c>
      <c r="R5" s="2" t="str">
        <f t="shared" si="10"/>
        <v>Kavya</v>
      </c>
    </row>
    <row r="6" spans="1:18" x14ac:dyDescent="0.25">
      <c r="A6" s="1">
        <v>105</v>
      </c>
      <c r="B6" s="1" t="s">
        <v>28</v>
      </c>
      <c r="C6" s="1" t="s">
        <v>29</v>
      </c>
      <c r="D6" s="2">
        <v>75</v>
      </c>
      <c r="E6" s="2">
        <v>80</v>
      </c>
      <c r="F6" s="2">
        <v>78</v>
      </c>
      <c r="G6" s="2">
        <v>82</v>
      </c>
      <c r="H6" s="2">
        <f t="shared" si="1"/>
        <v>315</v>
      </c>
      <c r="I6" s="4">
        <f t="shared" si="2"/>
        <v>0.78749999999999998</v>
      </c>
      <c r="J6" s="2">
        <f t="shared" si="3"/>
        <v>75</v>
      </c>
      <c r="K6" s="2">
        <f t="shared" si="4"/>
        <v>82</v>
      </c>
      <c r="L6" s="2" t="str">
        <f t="shared" si="5"/>
        <v>RAHUL</v>
      </c>
      <c r="M6" s="2" t="str">
        <f t="shared" si="6"/>
        <v>rahul</v>
      </c>
      <c r="N6" s="2" t="str">
        <f t="shared" si="7"/>
        <v>Rahul</v>
      </c>
      <c r="O6" s="2">
        <f t="shared" si="8"/>
        <v>78.75</v>
      </c>
      <c r="P6" s="2" t="str">
        <f t="shared" si="9"/>
        <v>B+</v>
      </c>
      <c r="Q6" s="2" t="str">
        <f t="shared" si="0"/>
        <v>105-Rahul</v>
      </c>
      <c r="R6" s="2" t="str">
        <f t="shared" si="10"/>
        <v>Rahul</v>
      </c>
    </row>
    <row r="7" spans="1:18" x14ac:dyDescent="0.25">
      <c r="A7" s="1">
        <v>106</v>
      </c>
      <c r="B7" s="1" t="s">
        <v>30</v>
      </c>
      <c r="C7" s="1" t="s">
        <v>22</v>
      </c>
      <c r="D7" s="2">
        <v>22</v>
      </c>
      <c r="E7" s="2">
        <v>33</v>
      </c>
      <c r="F7" s="2">
        <v>21</v>
      </c>
      <c r="G7" s="2">
        <v>30</v>
      </c>
      <c r="H7" s="2">
        <f t="shared" si="1"/>
        <v>106</v>
      </c>
      <c r="I7" s="4">
        <f t="shared" si="2"/>
        <v>0.26500000000000001</v>
      </c>
      <c r="J7" s="2">
        <f t="shared" si="3"/>
        <v>21</v>
      </c>
      <c r="K7" s="2">
        <f t="shared" si="4"/>
        <v>33</v>
      </c>
      <c r="L7" s="2" t="str">
        <f t="shared" si="5"/>
        <v>SNEHA</v>
      </c>
      <c r="M7" s="2" t="str">
        <f t="shared" si="6"/>
        <v>sneha</v>
      </c>
      <c r="N7" s="2" t="str">
        <f t="shared" si="7"/>
        <v>Sneha</v>
      </c>
      <c r="O7" s="2">
        <f t="shared" si="8"/>
        <v>26.5</v>
      </c>
      <c r="P7" s="2" t="str">
        <f>IF(O7&gt;=90,"A+",IF(O7&gt;=80,"A",IF(O7&gt;=70,"B+",IF(O7&gt;=60,"B",IF(O7&gt;=50,"C+",IF(O7&gt;=40,"C","FAIL"))))))</f>
        <v>FAIL</v>
      </c>
      <c r="Q7" s="2" t="str">
        <f t="shared" si="0"/>
        <v>106-Sneha</v>
      </c>
      <c r="R7" s="2" t="str">
        <f t="shared" si="10"/>
        <v>Sneha</v>
      </c>
    </row>
    <row r="8" spans="1:18" x14ac:dyDescent="0.25">
      <c r="A8" s="1">
        <v>107</v>
      </c>
      <c r="B8" s="1" t="s">
        <v>31</v>
      </c>
      <c r="C8" s="1" t="s">
        <v>32</v>
      </c>
      <c r="D8" s="2">
        <v>65</v>
      </c>
      <c r="E8" s="2">
        <v>70</v>
      </c>
      <c r="F8" s="2">
        <v>60</v>
      </c>
      <c r="G8" s="2">
        <v>72</v>
      </c>
      <c r="H8" s="2">
        <f t="shared" si="1"/>
        <v>267</v>
      </c>
      <c r="I8" s="4">
        <f t="shared" si="2"/>
        <v>0.66749999999999998</v>
      </c>
      <c r="J8" s="2">
        <f t="shared" si="3"/>
        <v>60</v>
      </c>
      <c r="K8" s="2">
        <f t="shared" si="4"/>
        <v>72</v>
      </c>
      <c r="L8" s="2" t="str">
        <f t="shared" si="5"/>
        <v>YASH</v>
      </c>
      <c r="M8" s="2" t="str">
        <f t="shared" si="6"/>
        <v>yash</v>
      </c>
      <c r="N8" s="2" t="str">
        <f t="shared" si="7"/>
        <v>Yash</v>
      </c>
      <c r="O8" s="2">
        <f t="shared" si="8"/>
        <v>66.75</v>
      </c>
      <c r="P8" s="2" t="str">
        <f t="shared" si="9"/>
        <v>B</v>
      </c>
      <c r="Q8" s="2" t="str">
        <f t="shared" si="0"/>
        <v>107-Yash</v>
      </c>
      <c r="R8" s="2" t="str">
        <f t="shared" si="10"/>
        <v>Yash</v>
      </c>
    </row>
    <row r="9" spans="1:18" x14ac:dyDescent="0.25">
      <c r="A9" s="1">
        <v>108</v>
      </c>
      <c r="B9" s="1" t="s">
        <v>33</v>
      </c>
      <c r="C9" s="1" t="s">
        <v>34</v>
      </c>
      <c r="D9" s="2">
        <v>92</v>
      </c>
      <c r="E9" s="2">
        <v>89</v>
      </c>
      <c r="F9" s="2">
        <v>95</v>
      </c>
      <c r="G9" s="2">
        <v>94</v>
      </c>
      <c r="H9" s="2">
        <f t="shared" si="1"/>
        <v>370</v>
      </c>
      <c r="I9" s="4">
        <f t="shared" si="2"/>
        <v>0.92500000000000004</v>
      </c>
      <c r="J9" s="2">
        <f t="shared" si="3"/>
        <v>89</v>
      </c>
      <c r="K9" s="2">
        <f t="shared" si="4"/>
        <v>95</v>
      </c>
      <c r="L9" s="2" t="str">
        <f t="shared" si="5"/>
        <v>VIVEK</v>
      </c>
      <c r="M9" s="2" t="str">
        <f t="shared" si="6"/>
        <v>vivek</v>
      </c>
      <c r="N9" s="2" t="str">
        <f t="shared" si="7"/>
        <v>Vivek</v>
      </c>
      <c r="O9" s="2">
        <f t="shared" si="8"/>
        <v>92.5</v>
      </c>
      <c r="P9" s="2" t="str">
        <f t="shared" si="9"/>
        <v>A+</v>
      </c>
      <c r="Q9" s="2" t="str">
        <f t="shared" si="0"/>
        <v>108-Vivek</v>
      </c>
      <c r="R9" s="2" t="str">
        <f t="shared" si="10"/>
        <v>Vivek</v>
      </c>
    </row>
    <row r="10" spans="1:18" x14ac:dyDescent="0.25">
      <c r="A10" s="1">
        <v>109</v>
      </c>
      <c r="B10" s="1" t="s">
        <v>35</v>
      </c>
      <c r="C10" s="1" t="s">
        <v>22</v>
      </c>
      <c r="D10" s="2">
        <v>55</v>
      </c>
      <c r="E10" s="2">
        <v>60</v>
      </c>
      <c r="F10" s="2">
        <v>58</v>
      </c>
      <c r="G10" s="2">
        <v>62</v>
      </c>
      <c r="H10" s="2">
        <f t="shared" si="1"/>
        <v>235</v>
      </c>
      <c r="I10" s="4">
        <f t="shared" si="2"/>
        <v>0.58750000000000002</v>
      </c>
      <c r="J10" s="2">
        <f t="shared" si="3"/>
        <v>55</v>
      </c>
      <c r="K10" s="2">
        <f t="shared" si="4"/>
        <v>62</v>
      </c>
      <c r="L10" s="2" t="str">
        <f t="shared" si="5"/>
        <v>ROHAN</v>
      </c>
      <c r="M10" s="2" t="str">
        <f t="shared" si="6"/>
        <v>rohan</v>
      </c>
      <c r="N10" s="2" t="str">
        <f t="shared" si="7"/>
        <v>Rohan</v>
      </c>
      <c r="O10" s="2">
        <f t="shared" si="8"/>
        <v>58.75</v>
      </c>
      <c r="P10" s="2" t="str">
        <f t="shared" si="9"/>
        <v>C+</v>
      </c>
      <c r="Q10" s="2" t="str">
        <f t="shared" si="0"/>
        <v>109-Rohan</v>
      </c>
      <c r="R10" s="2" t="str">
        <f t="shared" si="10"/>
        <v>Rohan</v>
      </c>
    </row>
    <row r="11" spans="1:18" x14ac:dyDescent="0.25">
      <c r="A11" s="1">
        <v>110</v>
      </c>
      <c r="B11" s="1" t="s">
        <v>36</v>
      </c>
      <c r="C11" s="1" t="s">
        <v>22</v>
      </c>
      <c r="D11" s="2">
        <v>75</v>
      </c>
      <c r="E11" s="2">
        <v>80</v>
      </c>
      <c r="F11" s="2">
        <v>78</v>
      </c>
      <c r="G11" s="2">
        <v>82</v>
      </c>
      <c r="H11" s="2">
        <f t="shared" si="1"/>
        <v>315</v>
      </c>
      <c r="I11" s="4">
        <f t="shared" si="2"/>
        <v>0.78749999999999998</v>
      </c>
      <c r="J11" s="2">
        <f t="shared" si="3"/>
        <v>75</v>
      </c>
      <c r="K11" s="2">
        <f t="shared" si="4"/>
        <v>82</v>
      </c>
      <c r="L11" s="2" t="str">
        <f t="shared" si="5"/>
        <v>PRIYA</v>
      </c>
      <c r="M11" s="2" t="str">
        <f t="shared" si="6"/>
        <v>priya</v>
      </c>
      <c r="N11" s="2" t="str">
        <f t="shared" si="7"/>
        <v>Priya</v>
      </c>
      <c r="O11" s="2">
        <f t="shared" si="8"/>
        <v>78.75</v>
      </c>
      <c r="P11" s="2" t="str">
        <f t="shared" si="9"/>
        <v>B+</v>
      </c>
      <c r="Q11" s="2" t="str">
        <f t="shared" si="0"/>
        <v>110-Priya</v>
      </c>
      <c r="R11" s="2" t="str">
        <f t="shared" si="10"/>
        <v>Priya</v>
      </c>
    </row>
    <row r="12" spans="1:18" x14ac:dyDescent="0.25">
      <c r="A12" s="1">
        <v>111</v>
      </c>
      <c r="B12" s="1" t="s">
        <v>37</v>
      </c>
      <c r="C12" s="1" t="s">
        <v>38</v>
      </c>
      <c r="D12" s="2">
        <v>85</v>
      </c>
      <c r="E12" s="2">
        <v>78</v>
      </c>
      <c r="F12" s="2">
        <v>90</v>
      </c>
      <c r="G12" s="2">
        <v>88</v>
      </c>
      <c r="H12" s="2">
        <f t="shared" si="1"/>
        <v>341</v>
      </c>
      <c r="I12" s="4">
        <f t="shared" si="2"/>
        <v>0.85250000000000004</v>
      </c>
      <c r="J12" s="2">
        <f t="shared" si="3"/>
        <v>78</v>
      </c>
      <c r="K12" s="2">
        <f t="shared" si="4"/>
        <v>90</v>
      </c>
      <c r="L12" s="2" t="str">
        <f t="shared" si="5"/>
        <v>JEEL</v>
      </c>
      <c r="M12" s="2" t="str">
        <f t="shared" si="6"/>
        <v>jeel</v>
      </c>
      <c r="N12" s="2" t="str">
        <f t="shared" si="7"/>
        <v>Jeel</v>
      </c>
      <c r="O12" s="2">
        <f t="shared" si="8"/>
        <v>85.25</v>
      </c>
      <c r="P12" s="2" t="str">
        <f t="shared" si="9"/>
        <v>A</v>
      </c>
      <c r="Q12" s="2" t="str">
        <f t="shared" si="0"/>
        <v>111-Jeel</v>
      </c>
      <c r="R12" s="2" t="str">
        <f t="shared" si="10"/>
        <v>Jeel</v>
      </c>
    </row>
    <row r="13" spans="1:18" x14ac:dyDescent="0.25">
      <c r="A13" s="1">
        <v>112</v>
      </c>
      <c r="B13" s="1" t="s">
        <v>39</v>
      </c>
      <c r="C13" s="1" t="s">
        <v>40</v>
      </c>
      <c r="D13" s="2">
        <v>65</v>
      </c>
      <c r="E13" s="2">
        <v>70</v>
      </c>
      <c r="F13" s="2">
        <v>60</v>
      </c>
      <c r="G13" s="2">
        <v>72</v>
      </c>
      <c r="H13" s="2">
        <f t="shared" si="1"/>
        <v>267</v>
      </c>
      <c r="I13" s="4">
        <f t="shared" si="2"/>
        <v>0.66749999999999998</v>
      </c>
      <c r="J13" s="2">
        <f t="shared" si="3"/>
        <v>60</v>
      </c>
      <c r="K13" s="2">
        <f t="shared" si="4"/>
        <v>72</v>
      </c>
      <c r="L13" s="2" t="str">
        <f t="shared" si="5"/>
        <v>JAY</v>
      </c>
      <c r="M13" s="2" t="str">
        <f t="shared" si="6"/>
        <v>jay</v>
      </c>
      <c r="N13" s="2" t="str">
        <f t="shared" si="7"/>
        <v>Jay</v>
      </c>
      <c r="O13" s="2">
        <f t="shared" si="8"/>
        <v>66.75</v>
      </c>
      <c r="P13" s="2" t="str">
        <f t="shared" si="9"/>
        <v>B</v>
      </c>
      <c r="Q13" s="2" t="str">
        <f t="shared" si="0"/>
        <v>112-Jay</v>
      </c>
      <c r="R13" s="2" t="str">
        <f t="shared" si="10"/>
        <v>Jay</v>
      </c>
    </row>
    <row r="14" spans="1:18" x14ac:dyDescent="0.25">
      <c r="A14" s="1">
        <v>113</v>
      </c>
      <c r="B14" s="1" t="s">
        <v>41</v>
      </c>
      <c r="C14" s="1" t="s">
        <v>42</v>
      </c>
      <c r="D14" s="2">
        <v>92</v>
      </c>
      <c r="E14" s="2">
        <v>89</v>
      </c>
      <c r="F14" s="2">
        <v>95</v>
      </c>
      <c r="G14" s="2">
        <v>94</v>
      </c>
      <c r="H14" s="2">
        <f t="shared" si="1"/>
        <v>370</v>
      </c>
      <c r="I14" s="4">
        <f t="shared" si="2"/>
        <v>0.92500000000000004</v>
      </c>
      <c r="J14" s="2">
        <f t="shared" si="3"/>
        <v>89</v>
      </c>
      <c r="K14" s="2">
        <f t="shared" si="4"/>
        <v>95</v>
      </c>
      <c r="L14" s="2" t="str">
        <f t="shared" si="5"/>
        <v>VISHVAM</v>
      </c>
      <c r="M14" s="2" t="str">
        <f t="shared" si="6"/>
        <v>vishvam</v>
      </c>
      <c r="N14" s="2" t="str">
        <f t="shared" si="7"/>
        <v>Vishvam</v>
      </c>
      <c r="O14" s="2">
        <f t="shared" si="8"/>
        <v>92.5</v>
      </c>
      <c r="P14" s="2" t="str">
        <f t="shared" si="9"/>
        <v>A+</v>
      </c>
      <c r="Q14" s="2" t="str">
        <f t="shared" si="0"/>
        <v>113-Vishvam</v>
      </c>
      <c r="R14" s="2" t="str">
        <f t="shared" si="10"/>
        <v>Vishvam</v>
      </c>
    </row>
    <row r="15" spans="1:18" x14ac:dyDescent="0.25">
      <c r="A15" s="1">
        <v>114</v>
      </c>
      <c r="B15" s="1" t="s">
        <v>43</v>
      </c>
      <c r="C15" s="1" t="s">
        <v>44</v>
      </c>
      <c r="D15" s="2">
        <v>55</v>
      </c>
      <c r="E15" s="2">
        <v>60</v>
      </c>
      <c r="F15" s="2">
        <v>58</v>
      </c>
      <c r="G15" s="2">
        <v>62</v>
      </c>
      <c r="H15" s="2">
        <f t="shared" si="1"/>
        <v>235</v>
      </c>
      <c r="I15" s="4">
        <f t="shared" si="2"/>
        <v>0.58750000000000002</v>
      </c>
      <c r="J15" s="2">
        <f t="shared" si="3"/>
        <v>55</v>
      </c>
      <c r="K15" s="2">
        <f t="shared" si="4"/>
        <v>62</v>
      </c>
      <c r="L15" s="2" t="str">
        <f t="shared" si="5"/>
        <v>MUKESH</v>
      </c>
      <c r="M15" s="2" t="str">
        <f t="shared" si="6"/>
        <v>mukesh</v>
      </c>
      <c r="N15" s="2" t="str">
        <f t="shared" si="7"/>
        <v>Mukesh</v>
      </c>
      <c r="O15" s="2">
        <f t="shared" si="8"/>
        <v>58.75</v>
      </c>
      <c r="P15" s="2" t="str">
        <f t="shared" si="9"/>
        <v>C+</v>
      </c>
      <c r="Q15" s="2" t="str">
        <f t="shared" si="0"/>
        <v>114-Mukesh</v>
      </c>
      <c r="R15" s="2" t="str">
        <f t="shared" si="10"/>
        <v>Mukesh</v>
      </c>
    </row>
    <row r="16" spans="1:18" x14ac:dyDescent="0.25">
      <c r="A16" s="1">
        <v>115</v>
      </c>
      <c r="B16" s="1" t="s">
        <v>45</v>
      </c>
      <c r="C16" s="1" t="s">
        <v>46</v>
      </c>
      <c r="D16" s="2">
        <v>75</v>
      </c>
      <c r="E16" s="2">
        <v>80</v>
      </c>
      <c r="F16" s="2">
        <v>78</v>
      </c>
      <c r="G16" s="2">
        <v>82</v>
      </c>
      <c r="H16" s="2">
        <f t="shared" si="1"/>
        <v>315</v>
      </c>
      <c r="I16" s="4">
        <f t="shared" si="2"/>
        <v>0.78749999999999998</v>
      </c>
      <c r="J16" s="2">
        <f t="shared" si="3"/>
        <v>75</v>
      </c>
      <c r="K16" s="2">
        <f t="shared" si="4"/>
        <v>82</v>
      </c>
      <c r="L16" s="2" t="str">
        <f t="shared" si="5"/>
        <v>KARAN</v>
      </c>
      <c r="M16" s="2" t="str">
        <f t="shared" si="6"/>
        <v>karan</v>
      </c>
      <c r="N16" s="2" t="str">
        <f t="shared" si="7"/>
        <v>Karan</v>
      </c>
      <c r="O16" s="2">
        <f t="shared" si="8"/>
        <v>78.75</v>
      </c>
      <c r="P16" s="2" t="str">
        <f t="shared" si="9"/>
        <v>B+</v>
      </c>
      <c r="Q16" s="2" t="str">
        <f t="shared" si="0"/>
        <v>115-Karan</v>
      </c>
      <c r="R16" s="2" t="str">
        <f t="shared" si="10"/>
        <v>Karan</v>
      </c>
    </row>
    <row r="17" spans="4:13" x14ac:dyDescent="0.25">
      <c r="M17" t="str">
        <f t="shared" si="6"/>
        <v/>
      </c>
    </row>
    <row r="18" spans="4:13" x14ac:dyDescent="0.25">
      <c r="D18" t="s">
        <v>14</v>
      </c>
      <c r="E18">
        <f>COUNT(A2:A16)</f>
        <v>15</v>
      </c>
    </row>
    <row r="19" spans="4:13" x14ac:dyDescent="0.25">
      <c r="D19" t="s">
        <v>15</v>
      </c>
      <c r="E19">
        <f>COUNTA(B2:B16)</f>
        <v>15</v>
      </c>
    </row>
    <row r="20" spans="4:13" x14ac:dyDescent="0.25">
      <c r="D20" t="s">
        <v>18</v>
      </c>
      <c r="E20">
        <f>COUNTIF(H2:H16,"&gt;350")</f>
        <v>3</v>
      </c>
    </row>
  </sheetData>
  <pageMargins left="0.7" right="0.7" top="0.75" bottom="0.75" header="0.3" footer="0.3"/>
  <pageSetup orientation="portrait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2026-07-28T07:34:06Z</dcterms:created>
  <dcterms:modified xsi:type="dcterms:W3CDTF">2026-08-05T06:57:45Z</dcterms:modified>
</cp:coreProperties>
</file>