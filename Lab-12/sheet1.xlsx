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D:\OAT_LAB_147\"/>
    </mc:Choice>
  </mc:AlternateContent>
  <xr:revisionPtr revIDLastSave="0" documentId="13_ncr:1_{73E0E3E7-BCA3-47BF-882C-E98A43608398}" xr6:coauthVersionLast="47" xr6:coauthVersionMax="47" xr10:uidLastSave="{00000000-0000-0000-0000-000000000000}"/>
  <bookViews>
    <workbookView xWindow="-120" yWindow="-120" windowWidth="29040" windowHeight="15720" activeTab="3" xr2:uid="{027AA6A3-9E3B-4FD5-BB7E-8521BFC87774}"/>
  </bookViews>
  <sheets>
    <sheet name="Sheet1" sheetId="1" r:id="rId1"/>
    <sheet name="Sheet2" sheetId="2" r:id="rId2"/>
    <sheet name="Sheet3" sheetId="4" r:id="rId3"/>
    <sheet name="Sheet4" sheetId="5" r:id="rId4"/>
  </sheets>
  <definedNames>
    <definedName name="B.Tech">Sheet1!$J$2:$J$3</definedName>
    <definedName name="BBA">Sheet1!$K$2:$K$3</definedName>
    <definedName name="Slicer_Category">#N/A</definedName>
    <definedName name="Slicer_Department">#N/A</definedName>
  </definedNames>
  <calcPr calcId="181029"/>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8" i="5" l="1"/>
  <c r="K9" i="5"/>
  <c r="K10" i="5"/>
  <c r="K11" i="5"/>
  <c r="K7" i="5"/>
  <c r="J8" i="5"/>
  <c r="J9" i="5"/>
  <c r="J10" i="5"/>
  <c r="J11" i="5"/>
  <c r="J7" i="5"/>
  <c r="H5" i="5"/>
  <c r="G5" i="5"/>
  <c r="F5" i="5"/>
  <c r="E5" i="5"/>
  <c r="C5" i="5"/>
  <c r="D5" i="5"/>
  <c r="B5" i="5"/>
  <c r="H2" i="1"/>
  <c r="G2" i="1"/>
</calcChain>
</file>

<file path=xl/sharedStrings.xml><?xml version="1.0" encoding="utf-8"?>
<sst xmlns="http://schemas.openxmlformats.org/spreadsheetml/2006/main" count="121" uniqueCount="61">
  <si>
    <t>ID</t>
  </si>
  <si>
    <t>Department</t>
  </si>
  <si>
    <t>Category</t>
  </si>
  <si>
    <t>Product</t>
  </si>
  <si>
    <t>Quantity</t>
  </si>
  <si>
    <t>Sales</t>
  </si>
  <si>
    <t>Computer</t>
  </si>
  <si>
    <t>Laptop</t>
  </si>
  <si>
    <t>Dell Laptop</t>
  </si>
  <si>
    <t>IT</t>
  </si>
  <si>
    <t>Mouse</t>
  </si>
  <si>
    <t>Wireless Mouse</t>
  </si>
  <si>
    <t>ICT</t>
  </si>
  <si>
    <t>Printer</t>
  </si>
  <si>
    <t>HP Printer</t>
  </si>
  <si>
    <t>Tablet</t>
  </si>
  <si>
    <t>Samsung Tablet</t>
  </si>
  <si>
    <t>Mobile</t>
  </si>
  <si>
    <t>iPhone</t>
  </si>
  <si>
    <t>Monitor</t>
  </si>
  <si>
    <t>LG Monitor</t>
  </si>
  <si>
    <t>Keyboard</t>
  </si>
  <si>
    <t>HP Laptop</t>
  </si>
  <si>
    <t>Logitech Mouse</t>
  </si>
  <si>
    <t>Canon Printer</t>
  </si>
  <si>
    <t>Lenovo Tablet</t>
  </si>
  <si>
    <t>Samsung Mobile</t>
  </si>
  <si>
    <t>Dell Monitor</t>
  </si>
  <si>
    <t>Wireless Keyboard</t>
  </si>
  <si>
    <t>Lenovo Laptop</t>
  </si>
  <si>
    <t xml:space="preserve"> </t>
  </si>
  <si>
    <t>Mechanical</t>
  </si>
  <si>
    <t>Sum of Sales</t>
  </si>
  <si>
    <t>Row Labels</t>
  </si>
  <si>
    <t>Grand Total</t>
  </si>
  <si>
    <t>Index, Match</t>
  </si>
  <si>
    <t>Avg</t>
  </si>
  <si>
    <t>B.Tech</t>
  </si>
  <si>
    <t>BBA</t>
  </si>
  <si>
    <t>JAVA</t>
  </si>
  <si>
    <t>DSA</t>
  </si>
  <si>
    <t>FINANCE</t>
  </si>
  <si>
    <t>MARKETING</t>
  </si>
  <si>
    <t>Field</t>
  </si>
  <si>
    <t>Subject</t>
  </si>
  <si>
    <t>khush ghetiya</t>
  </si>
  <si>
    <t>YEAR</t>
  </si>
  <si>
    <t>MONTH</t>
  </si>
  <si>
    <t>DAY</t>
  </si>
  <si>
    <t>SUN</t>
  </si>
  <si>
    <t>MON</t>
  </si>
  <si>
    <t>TUE</t>
  </si>
  <si>
    <t>WED</t>
  </si>
  <si>
    <t>THU</t>
  </si>
  <si>
    <t>SAT</t>
  </si>
  <si>
    <t>DATE</t>
  </si>
  <si>
    <t>Roll No.</t>
  </si>
  <si>
    <t>P</t>
  </si>
  <si>
    <t>AB</t>
  </si>
  <si>
    <t>PRESENT</t>
  </si>
  <si>
    <t>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</si>
</sst>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center"/>
    </xf>
    <xf numFmtId="14" fontId="0" fillId="0" borderId="0" xfId="0" applyNumberFormat="1" applyAlignment="1">
      <alignment horizontal="center"/>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Computer</c:v>
              </c:pt>
              <c:pt idx="1">
                <c:v>ICT</c:v>
              </c:pt>
              <c:pt idx="2">
                <c:v>IT</c:v>
              </c:pt>
            </c:strLit>
          </c:cat>
          <c:val>
            <c:numLit>
              <c:formatCode>General</c:formatCode>
              <c:ptCount val="3"/>
              <c:pt idx="0">
                <c:v>1447000</c:v>
              </c:pt>
              <c:pt idx="1">
                <c:v>1255000</c:v>
              </c:pt>
              <c:pt idx="2">
                <c:v>1561000</c:v>
              </c:pt>
            </c:numLit>
          </c:val>
          <c:extLst>
            <c:ext xmlns:c16="http://schemas.microsoft.com/office/drawing/2014/chart" uri="{C3380CC4-5D6E-409C-BE32-E72D297353CC}">
              <c16:uniqueId val="{00000000-6B73-4B2E-B68E-5731BECC526D}"/>
            </c:ext>
          </c:extLst>
        </c:ser>
        <c:dLbls>
          <c:dLblPos val="inEnd"/>
          <c:showLegendKey val="0"/>
          <c:showVal val="1"/>
          <c:showCatName val="0"/>
          <c:showSerName val="0"/>
          <c:showPercent val="0"/>
          <c:showBubbleSize val="0"/>
        </c:dLbls>
        <c:gapWidth val="100"/>
        <c:overlap val="-24"/>
        <c:axId val="650671072"/>
        <c:axId val="650672992"/>
      </c:barChart>
      <c:catAx>
        <c:axId val="650671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672992"/>
        <c:crosses val="autoZero"/>
        <c:auto val="1"/>
        <c:lblAlgn val="ctr"/>
        <c:lblOffset val="100"/>
        <c:noMultiLvlLbl val="0"/>
      </c:catAx>
      <c:valAx>
        <c:axId val="650672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6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933450</xdr:colOff>
      <xdr:row>21</xdr:row>
      <xdr:rowOff>157162</xdr:rowOff>
    </xdr:from>
    <xdr:to>
      <xdr:col>10</xdr:col>
      <xdr:colOff>57150</xdr:colOff>
      <xdr:row>36</xdr:row>
      <xdr:rowOff>42862</xdr:rowOff>
    </xdr:to>
    <xdr:graphicFrame macro="">
      <xdr:nvGraphicFramePr>
        <xdr:cNvPr id="2" name="Chart 1">
          <a:extLst>
            <a:ext uri="{FF2B5EF4-FFF2-40B4-BE49-F238E27FC236}">
              <a16:creationId xmlns:a16="http://schemas.microsoft.com/office/drawing/2014/main" id="{62148065-3A15-E137-713D-EDB6395B9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533400</xdr:colOff>
      <xdr:row>21</xdr:row>
      <xdr:rowOff>133350</xdr:rowOff>
    </xdr:from>
    <xdr:to>
      <xdr:col>17</xdr:col>
      <xdr:colOff>533400</xdr:colOff>
      <xdr:row>34</xdr:row>
      <xdr:rowOff>180975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13B19F0-D73B-34D9-52D9-F50D5A61BDC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887325" y="415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22</xdr:row>
      <xdr:rowOff>28575</xdr:rowOff>
    </xdr:from>
    <xdr:to>
      <xdr:col>14</xdr:col>
      <xdr:colOff>28575</xdr:colOff>
      <xdr:row>35</xdr:row>
      <xdr:rowOff>76200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516FD7A-0D18-30BF-A619-0E2A2C3E7E3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53700" y="4238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9.530786574076" createdVersion="8" refreshedVersion="8" minRefreshableVersion="3" recordCount="15" xr:uid="{8EDDEE9F-AB91-4B1F-899A-0F87B6986BAC}">
  <cacheSource type="worksheet">
    <worksheetSource ref="A1:F16" sheet="Sheet1"/>
  </cacheSource>
  <cacheFields count="6">
    <cacheField name="ID" numFmtId="0">
      <sharedItems containsSemiMixedTypes="0" containsString="0" containsNumber="1" containsInteger="1" minValue="1" maxValue="15"/>
    </cacheField>
    <cacheField name="Department" numFmtId="0">
      <sharedItems count="3">
        <s v="Computer"/>
        <s v="IT"/>
        <s v="ICT"/>
      </sharedItems>
    </cacheField>
    <cacheField name="Category" numFmtId="0">
      <sharedItems/>
    </cacheField>
    <cacheField name="Product" numFmtId="0">
      <sharedItems/>
    </cacheField>
    <cacheField name="Quantity" numFmtId="0">
      <sharedItems containsSemiMixedTypes="0" containsString="0" containsNumber="1" containsInteger="1" minValue="8" maxValue="35"/>
    </cacheField>
    <cacheField name="Sales" numFmtId="0">
      <sharedItems containsSemiMixedTypes="0" containsString="0" containsNumber="1" containsInteger="1" minValue="35000" maxValue="72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9.520814351854" createdVersion="8" refreshedVersion="8" minRefreshableVersion="3" recordCount="15" xr:uid="{1CE9D1D5-4726-4002-BD4A-501130E1B01B}">
  <cacheSource type="worksheet">
    <worksheetSource ref="A1:F16" sheet="Sheet1"/>
  </cacheSource>
  <cacheFields count="6">
    <cacheField name="ID" numFmtId="0">
      <sharedItems containsSemiMixedTypes="0" containsString="0" containsNumber="1" containsInteger="1" minValue="1" maxValue="15"/>
    </cacheField>
    <cacheField name="Department" numFmtId="0">
      <sharedItems count="3">
        <s v="Computer"/>
        <s v="IT"/>
        <s v="ICT"/>
      </sharedItems>
    </cacheField>
    <cacheField name="Category" numFmtId="0">
      <sharedItems count="7">
        <s v="Laptop"/>
        <s v="Mouse"/>
        <s v="Printer"/>
        <s v="Tablet"/>
        <s v="Mobile"/>
        <s v="Monitor"/>
        <s v="Keyboard"/>
      </sharedItems>
    </cacheField>
    <cacheField name="Product" numFmtId="0">
      <sharedItems count="15">
        <s v="Dell Laptop"/>
        <s v="Wireless Mouse"/>
        <s v="HP Printer"/>
        <s v="Samsung Tablet"/>
        <s v="iPhone"/>
        <s v="LG Monitor"/>
        <s v="Mechanical"/>
        <s v="HP Laptop"/>
        <s v="Logitech Mouse"/>
        <s v="Canon Printer"/>
        <s v="Lenovo Tablet"/>
        <s v="Samsung Mobile"/>
        <s v="Dell Monitor"/>
        <s v="Wireless Keyboard"/>
        <s v="Lenovo Laptop"/>
      </sharedItems>
    </cacheField>
    <cacheField name="Quantity" numFmtId="0">
      <sharedItems containsSemiMixedTypes="0" containsString="0" containsNumber="1" containsInteger="1" minValue="8" maxValue="35"/>
    </cacheField>
    <cacheField name="Sales" numFmtId="0">
      <sharedItems containsSemiMixedTypes="0" containsString="0" containsNumber="1" containsInteger="1" minValue="35000" maxValue="720000"/>
    </cacheField>
  </cacheFields>
  <extLst>
    <ext xmlns:x14="http://schemas.microsoft.com/office/spreadsheetml/2009/9/main" uri="{725AE2AE-9491-48be-B2B4-4EB974FC3084}">
      <x14:pivotCacheDefinition pivotCacheId="2073058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s v="Laptop"/>
    <s v="Dell Laptop"/>
    <n v="12"/>
    <n v="720000"/>
  </r>
  <r>
    <n v="2"/>
    <x v="1"/>
    <s v="Mouse"/>
    <s v="Wireless Mouse"/>
    <n v="35"/>
    <n v="35000"/>
  </r>
  <r>
    <n v="3"/>
    <x v="2"/>
    <s v="Printer"/>
    <s v="HP Printer"/>
    <n v="10"/>
    <n v="125000"/>
  </r>
  <r>
    <n v="4"/>
    <x v="0"/>
    <s v="Tablet"/>
    <s v="Samsung Tablet"/>
    <n v="15"/>
    <n v="300000"/>
  </r>
  <r>
    <n v="5"/>
    <x v="1"/>
    <s v="Mobile"/>
    <s v="iPhone"/>
    <n v="8"/>
    <n v="640000"/>
  </r>
  <r>
    <n v="6"/>
    <x v="2"/>
    <s v="Monitor"/>
    <s v="LG Monitor"/>
    <n v="20"/>
    <n v="240000"/>
  </r>
  <r>
    <n v="7"/>
    <x v="0"/>
    <s v="Keyboard"/>
    <s v="Mechanical"/>
    <n v="25"/>
    <n v="75000"/>
  </r>
  <r>
    <n v="8"/>
    <x v="1"/>
    <s v="Laptop"/>
    <s v="HP Laptop"/>
    <n v="10"/>
    <n v="550000"/>
  </r>
  <r>
    <n v="9"/>
    <x v="2"/>
    <s v="Mouse"/>
    <s v="Logitech Mouse"/>
    <n v="30"/>
    <n v="45000"/>
  </r>
  <r>
    <n v="10"/>
    <x v="0"/>
    <s v="Printer"/>
    <s v="Canon Printer"/>
    <n v="12"/>
    <n v="144000"/>
  </r>
  <r>
    <n v="11"/>
    <x v="1"/>
    <s v="Tablet"/>
    <s v="Lenovo Tablet"/>
    <n v="18"/>
    <n v="270000"/>
  </r>
  <r>
    <n v="12"/>
    <x v="2"/>
    <s v="Mobile"/>
    <s v="Samsung Mobile"/>
    <n v="14"/>
    <n v="350000"/>
  </r>
  <r>
    <n v="13"/>
    <x v="0"/>
    <s v="Monitor"/>
    <s v="Dell Monitor"/>
    <n v="16"/>
    <n v="208000"/>
  </r>
  <r>
    <n v="14"/>
    <x v="1"/>
    <s v="Keyboard"/>
    <s v="Wireless Keyboard"/>
    <n v="22"/>
    <n v="66000"/>
  </r>
  <r>
    <n v="15"/>
    <x v="2"/>
    <s v="Laptop"/>
    <s v="Lenovo Laptop"/>
    <n v="9"/>
    <n v="49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n v="12"/>
    <n v="720000"/>
  </r>
  <r>
    <n v="2"/>
    <x v="1"/>
    <x v="1"/>
    <x v="1"/>
    <n v="35"/>
    <n v="35000"/>
  </r>
  <r>
    <n v="3"/>
    <x v="2"/>
    <x v="2"/>
    <x v="2"/>
    <n v="10"/>
    <n v="125000"/>
  </r>
  <r>
    <n v="4"/>
    <x v="0"/>
    <x v="3"/>
    <x v="3"/>
    <n v="15"/>
    <n v="300000"/>
  </r>
  <r>
    <n v="5"/>
    <x v="1"/>
    <x v="4"/>
    <x v="4"/>
    <n v="8"/>
    <n v="640000"/>
  </r>
  <r>
    <n v="6"/>
    <x v="2"/>
    <x v="5"/>
    <x v="5"/>
    <n v="20"/>
    <n v="240000"/>
  </r>
  <r>
    <n v="7"/>
    <x v="0"/>
    <x v="6"/>
    <x v="6"/>
    <n v="25"/>
    <n v="75000"/>
  </r>
  <r>
    <n v="8"/>
    <x v="1"/>
    <x v="0"/>
    <x v="7"/>
    <n v="10"/>
    <n v="550000"/>
  </r>
  <r>
    <n v="9"/>
    <x v="2"/>
    <x v="1"/>
    <x v="8"/>
    <n v="30"/>
    <n v="45000"/>
  </r>
  <r>
    <n v="10"/>
    <x v="0"/>
    <x v="2"/>
    <x v="9"/>
    <n v="12"/>
    <n v="144000"/>
  </r>
  <r>
    <n v="11"/>
    <x v="1"/>
    <x v="3"/>
    <x v="10"/>
    <n v="18"/>
    <n v="270000"/>
  </r>
  <r>
    <n v="12"/>
    <x v="2"/>
    <x v="4"/>
    <x v="11"/>
    <n v="14"/>
    <n v="350000"/>
  </r>
  <r>
    <n v="13"/>
    <x v="0"/>
    <x v="5"/>
    <x v="12"/>
    <n v="16"/>
    <n v="208000"/>
  </r>
  <r>
    <n v="14"/>
    <x v="1"/>
    <x v="6"/>
    <x v="13"/>
    <n v="22"/>
    <n v="66000"/>
  </r>
  <r>
    <n v="15"/>
    <x v="2"/>
    <x v="0"/>
    <x v="14"/>
    <n v="9"/>
    <n v="49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CF75B-BB38-435A-9B25-70E9155049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27" firstHeaderRow="1" firstDataRow="1" firstDataCol="1"/>
  <pivotFields count="6">
    <pivotField showAll="0"/>
    <pivotField axis="axisRow" showAll="0">
      <items count="4">
        <item x="0"/>
        <item x="2"/>
        <item x="1"/>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B5605DB-B21F-49FC-9C95-07D217768207}" sourceName="Department">
  <data>
    <tabular pivotCacheId="207305864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14AFBD3-09E4-4694-8387-939EDE0F8831}" sourceName="Category">
  <data>
    <tabular pivotCacheId="2073058646">
      <items count="7">
        <i x="6" s="1"/>
        <i x="0" s="1"/>
        <i x="4" s="1"/>
        <i x="5"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BA4D412-3514-42E2-8872-2F7070E57ACB}" cache="Slicer_Department" caption="Department" rowHeight="241300"/>
  <slicer name="Category" xr10:uid="{B7C4E089-AD35-4386-8991-F419401CF066}"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D34B0-30BC-43FA-A4C8-31A849F49297}">
  <sheetPr codeName="Sheet1"/>
  <dimension ref="A1:N27"/>
  <sheetViews>
    <sheetView workbookViewId="0">
      <selection activeCell="M1" sqref="M1"/>
    </sheetView>
  </sheetViews>
  <sheetFormatPr defaultRowHeight="15" x14ac:dyDescent="0.25"/>
  <cols>
    <col min="1" max="1" width="12" customWidth="1"/>
    <col min="2" max="2" width="13.140625" bestFit="1" customWidth="1"/>
    <col min="3" max="3" width="12.140625" bestFit="1" customWidth="1"/>
    <col min="4" max="4" width="18.28515625" customWidth="1"/>
    <col min="5" max="5" width="18.5703125" customWidth="1"/>
    <col min="6" max="6" width="11.7109375" customWidth="1"/>
    <col min="7" max="7" width="17" customWidth="1"/>
    <col min="8" max="8" width="15.5703125" customWidth="1"/>
    <col min="9" max="9" width="13.140625" bestFit="1" customWidth="1"/>
    <col min="10" max="10" width="13.42578125" customWidth="1"/>
    <col min="11" max="11" width="12.85546875" customWidth="1"/>
  </cols>
  <sheetData>
    <row r="1" spans="1:14" ht="15.75" x14ac:dyDescent="0.25">
      <c r="A1" s="2" t="s">
        <v>0</v>
      </c>
      <c r="B1" s="2" t="s">
        <v>1</v>
      </c>
      <c r="C1" s="2" t="s">
        <v>2</v>
      </c>
      <c r="D1" s="2" t="s">
        <v>3</v>
      </c>
      <c r="E1" s="2" t="s">
        <v>4</v>
      </c>
      <c r="F1" s="2" t="s">
        <v>5</v>
      </c>
      <c r="G1" s="2" t="s">
        <v>35</v>
      </c>
      <c r="H1" s="2" t="s">
        <v>36</v>
      </c>
      <c r="J1" s="2" t="s">
        <v>37</v>
      </c>
      <c r="K1" s="2" t="s">
        <v>38</v>
      </c>
    </row>
    <row r="2" spans="1:14" x14ac:dyDescent="0.25">
      <c r="A2" s="1">
        <v>1</v>
      </c>
      <c r="B2" s="1" t="s">
        <v>6</v>
      </c>
      <c r="C2" s="1" t="s">
        <v>7</v>
      </c>
      <c r="D2" s="1" t="s">
        <v>8</v>
      </c>
      <c r="E2" s="1">
        <v>12</v>
      </c>
      <c r="F2" s="1">
        <v>720000</v>
      </c>
      <c r="G2" s="3" t="str">
        <f>INDEX(D2:D16,MATCH(A9,A2:A16,0))</f>
        <v>HP Laptop</v>
      </c>
      <c r="H2" s="3">
        <f>AVERAGE(F2:F16)</f>
        <v>300000</v>
      </c>
      <c r="J2" s="3" t="s">
        <v>39</v>
      </c>
      <c r="K2" s="3" t="s">
        <v>41</v>
      </c>
    </row>
    <row r="3" spans="1:14" x14ac:dyDescent="0.25">
      <c r="A3" s="1">
        <v>2</v>
      </c>
      <c r="B3" s="1" t="s">
        <v>9</v>
      </c>
      <c r="C3" s="1" t="s">
        <v>10</v>
      </c>
      <c r="D3" s="1" t="s">
        <v>11</v>
      </c>
      <c r="E3" s="1">
        <v>35</v>
      </c>
      <c r="F3" s="1">
        <v>272000.00000000035</v>
      </c>
      <c r="J3" s="3" t="s">
        <v>40</v>
      </c>
      <c r="K3" s="3" t="s">
        <v>42</v>
      </c>
    </row>
    <row r="4" spans="1:14" x14ac:dyDescent="0.25">
      <c r="A4" s="1">
        <v>3</v>
      </c>
      <c r="B4" s="1" t="s">
        <v>12</v>
      </c>
      <c r="C4" s="1" t="s">
        <v>13</v>
      </c>
      <c r="D4" s="1" t="s">
        <v>14</v>
      </c>
      <c r="E4" s="1">
        <v>10</v>
      </c>
      <c r="F4" s="1">
        <v>125000</v>
      </c>
    </row>
    <row r="5" spans="1:14" x14ac:dyDescent="0.25">
      <c r="A5" s="1">
        <v>4</v>
      </c>
      <c r="B5" s="1" t="s">
        <v>6</v>
      </c>
      <c r="C5" s="1" t="s">
        <v>15</v>
      </c>
      <c r="D5" s="1" t="s">
        <v>16</v>
      </c>
      <c r="E5" s="1">
        <v>15</v>
      </c>
      <c r="F5" s="1">
        <v>300000</v>
      </c>
      <c r="I5" t="s">
        <v>30</v>
      </c>
    </row>
    <row r="6" spans="1:14" ht="15.75" x14ac:dyDescent="0.25">
      <c r="A6" s="1">
        <v>5</v>
      </c>
      <c r="B6" s="1" t="s">
        <v>9</v>
      </c>
      <c r="C6" s="1" t="s">
        <v>17</v>
      </c>
      <c r="D6" s="1" t="s">
        <v>18</v>
      </c>
      <c r="E6" s="1">
        <v>8</v>
      </c>
      <c r="F6" s="1">
        <v>640000</v>
      </c>
      <c r="J6" s="6" t="s">
        <v>43</v>
      </c>
      <c r="K6" s="6" t="s">
        <v>44</v>
      </c>
    </row>
    <row r="7" spans="1:14" x14ac:dyDescent="0.25">
      <c r="A7" s="1">
        <v>6</v>
      </c>
      <c r="B7" s="1" t="s">
        <v>12</v>
      </c>
      <c r="C7" s="1" t="s">
        <v>19</v>
      </c>
      <c r="D7" s="1" t="s">
        <v>20</v>
      </c>
      <c r="E7" s="1">
        <v>20</v>
      </c>
      <c r="F7" s="1">
        <v>240000</v>
      </c>
      <c r="I7" t="s">
        <v>30</v>
      </c>
      <c r="J7" s="3" t="s">
        <v>37</v>
      </c>
      <c r="K7" s="3" t="s">
        <v>39</v>
      </c>
    </row>
    <row r="8" spans="1:14" x14ac:dyDescent="0.25">
      <c r="A8" s="1">
        <v>7</v>
      </c>
      <c r="B8" s="3" t="s">
        <v>6</v>
      </c>
      <c r="C8" s="3" t="s">
        <v>21</v>
      </c>
      <c r="D8" s="3" t="s">
        <v>31</v>
      </c>
      <c r="E8" s="1">
        <v>25</v>
      </c>
      <c r="F8" s="1">
        <v>75000</v>
      </c>
      <c r="N8" t="s">
        <v>30</v>
      </c>
    </row>
    <row r="9" spans="1:14" x14ac:dyDescent="0.25">
      <c r="A9" s="1">
        <v>8</v>
      </c>
      <c r="B9" s="1" t="s">
        <v>9</v>
      </c>
      <c r="C9" s="1" t="s">
        <v>7</v>
      </c>
      <c r="D9" s="1" t="s">
        <v>22</v>
      </c>
      <c r="E9" s="1">
        <v>10</v>
      </c>
      <c r="F9" s="1">
        <v>550000</v>
      </c>
    </row>
    <row r="10" spans="1:14" x14ac:dyDescent="0.25">
      <c r="A10" s="1">
        <v>9</v>
      </c>
      <c r="B10" s="1" t="s">
        <v>12</v>
      </c>
      <c r="C10" s="1" t="s">
        <v>10</v>
      </c>
      <c r="D10" s="1" t="s">
        <v>23</v>
      </c>
      <c r="E10" s="1">
        <v>30</v>
      </c>
      <c r="F10" s="1">
        <v>45000</v>
      </c>
    </row>
    <row r="11" spans="1:14" x14ac:dyDescent="0.25">
      <c r="A11" s="1">
        <v>10</v>
      </c>
      <c r="B11" s="1" t="s">
        <v>6</v>
      </c>
      <c r="C11" s="1" t="s">
        <v>13</v>
      </c>
      <c r="D11" s="1" t="s">
        <v>24</v>
      </c>
      <c r="E11" s="1">
        <v>12</v>
      </c>
      <c r="F11" s="1">
        <v>144000</v>
      </c>
    </row>
    <row r="12" spans="1:14" x14ac:dyDescent="0.25">
      <c r="A12" s="1">
        <v>11</v>
      </c>
      <c r="B12" s="1" t="s">
        <v>9</v>
      </c>
      <c r="C12" s="1" t="s">
        <v>15</v>
      </c>
      <c r="D12" s="1" t="s">
        <v>25</v>
      </c>
      <c r="E12" s="1">
        <v>18</v>
      </c>
      <c r="F12" s="1">
        <v>270000</v>
      </c>
    </row>
    <row r="13" spans="1:14" x14ac:dyDescent="0.25">
      <c r="A13" s="1">
        <v>12</v>
      </c>
      <c r="B13" s="1" t="s">
        <v>12</v>
      </c>
      <c r="C13" s="1" t="s">
        <v>17</v>
      </c>
      <c r="D13" s="1" t="s">
        <v>26</v>
      </c>
      <c r="E13" s="1">
        <v>14</v>
      </c>
      <c r="F13" s="1">
        <v>350000</v>
      </c>
    </row>
    <row r="14" spans="1:14" x14ac:dyDescent="0.25">
      <c r="A14" s="1">
        <v>13</v>
      </c>
      <c r="B14" s="1" t="s">
        <v>6</v>
      </c>
      <c r="C14" s="1" t="s">
        <v>19</v>
      </c>
      <c r="D14" s="1" t="s">
        <v>27</v>
      </c>
      <c r="E14" s="1">
        <v>16</v>
      </c>
      <c r="F14" s="1">
        <v>208000</v>
      </c>
    </row>
    <row r="15" spans="1:14" x14ac:dyDescent="0.25">
      <c r="A15" s="1">
        <v>14</v>
      </c>
      <c r="B15" s="1" t="s">
        <v>9</v>
      </c>
      <c r="C15" s="1" t="s">
        <v>21</v>
      </c>
      <c r="D15" s="1" t="s">
        <v>28</v>
      </c>
      <c r="E15" s="1">
        <v>22</v>
      </c>
      <c r="F15" s="1">
        <v>66000</v>
      </c>
    </row>
    <row r="16" spans="1:14" x14ac:dyDescent="0.25">
      <c r="A16" s="1">
        <v>15</v>
      </c>
      <c r="B16" s="1" t="s">
        <v>12</v>
      </c>
      <c r="C16" s="1" t="s">
        <v>7</v>
      </c>
      <c r="D16" s="1" t="s">
        <v>29</v>
      </c>
      <c r="E16" s="1">
        <v>9</v>
      </c>
      <c r="F16" s="1">
        <v>495000</v>
      </c>
    </row>
    <row r="23" spans="2:3" x14ac:dyDescent="0.25">
      <c r="B23" s="4" t="s">
        <v>33</v>
      </c>
      <c r="C23" t="s">
        <v>32</v>
      </c>
    </row>
    <row r="24" spans="2:3" x14ac:dyDescent="0.25">
      <c r="B24" s="5" t="s">
        <v>6</v>
      </c>
      <c r="C24">
        <v>1447000</v>
      </c>
    </row>
    <row r="25" spans="2:3" x14ac:dyDescent="0.25">
      <c r="B25" s="5" t="s">
        <v>12</v>
      </c>
      <c r="C25">
        <v>1255000</v>
      </c>
    </row>
    <row r="26" spans="2:3" x14ac:dyDescent="0.25">
      <c r="B26" s="5" t="s">
        <v>9</v>
      </c>
      <c r="C26">
        <v>1561000</v>
      </c>
    </row>
    <row r="27" spans="2:3" x14ac:dyDescent="0.25">
      <c r="B27" s="5" t="s">
        <v>34</v>
      </c>
      <c r="C27">
        <v>4263000</v>
      </c>
    </row>
  </sheetData>
  <dataValidations count="2">
    <dataValidation type="list" allowBlank="1" showInputMessage="1" showErrorMessage="1" sqref="J7" xr:uid="{20EF37FD-3778-4F70-A476-CADA62A63C14}">
      <formula1>"B.Tech,BBA"</formula1>
    </dataValidation>
    <dataValidation type="list" allowBlank="1" showInputMessage="1" showErrorMessage="1" sqref="K7" xr:uid="{FD0839A5-2427-4F59-89D7-2B62D758BC1F}">
      <formula1>INDIRECT($J$7)</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2738-0FBC-4CC5-B40B-59774F38A9FA}">
  <sheetPr codeName="Sheet2"/>
  <dimension ref="A1"/>
  <sheetViews>
    <sheetView workbookViewId="0">
      <selection activeCell="A2" sqref="A2"/>
    </sheetView>
  </sheetViews>
  <sheetFormatPr defaultRowHeight="15" x14ac:dyDescent="0.25"/>
  <cols>
    <col min="1" max="1" width="13.42578125" bestFit="1" customWidth="1"/>
  </cols>
  <sheetData>
    <row r="1" spans="1:1" x14ac:dyDescent="0.25">
      <c r="A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513A-6240-4C52-9037-07D02FB6CA70}">
  <dimension ref="A1:A11"/>
  <sheetViews>
    <sheetView workbookViewId="0">
      <selection activeCell="F15" sqref="F15"/>
    </sheetView>
  </sheetViews>
  <sheetFormatPr defaultRowHeight="15" x14ac:dyDescent="0.25"/>
  <sheetData>
    <row r="1" spans="1:1" x14ac:dyDescent="0.25">
      <c r="A1">
        <v>1</v>
      </c>
    </row>
    <row r="2" spans="1:1" x14ac:dyDescent="0.25">
      <c r="A2">
        <v>2</v>
      </c>
    </row>
    <row r="3" spans="1:1" x14ac:dyDescent="0.25">
      <c r="A3">
        <v>3</v>
      </c>
    </row>
    <row r="4" spans="1:1" x14ac:dyDescent="0.25">
      <c r="A4">
        <v>4</v>
      </c>
    </row>
    <row r="5" spans="1:1" x14ac:dyDescent="0.25">
      <c r="A5">
        <v>5</v>
      </c>
    </row>
    <row r="6" spans="1:1" x14ac:dyDescent="0.25">
      <c r="A6">
        <v>6</v>
      </c>
    </row>
    <row r="7" spans="1:1" x14ac:dyDescent="0.25">
      <c r="A7">
        <v>7</v>
      </c>
    </row>
    <row r="8" spans="1:1" x14ac:dyDescent="0.25">
      <c r="A8">
        <v>8</v>
      </c>
    </row>
    <row r="9" spans="1:1" x14ac:dyDescent="0.25">
      <c r="A9">
        <v>9</v>
      </c>
    </row>
    <row r="10" spans="1:1" x14ac:dyDescent="0.25">
      <c r="A10">
        <v>10</v>
      </c>
    </row>
    <row r="11" spans="1:1" x14ac:dyDescent="0.25">
      <c r="A11">
        <v>11</v>
      </c>
    </row>
  </sheetData>
  <conditionalFormatting sqref="A1:C10 A11:A20">
    <cfRule type="expression" priority="2">
      <formula>COUNTA($A1)&gt;0</formula>
    </cfRule>
  </conditionalFormatting>
  <conditionalFormatting sqref="A1:C10">
    <cfRule type="expression" dxfId="3" priority="1">
      <formula>COUNTA($A1)&gt;0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6FCF-6FC7-474E-93F8-2AA70C9C9ECD}">
  <dimension ref="A1:K11"/>
  <sheetViews>
    <sheetView tabSelected="1" workbookViewId="0">
      <selection activeCell="G4" sqref="G4"/>
    </sheetView>
  </sheetViews>
  <sheetFormatPr defaultRowHeight="15" x14ac:dyDescent="0.25"/>
  <cols>
    <col min="2" max="8" width="10.42578125" bestFit="1" customWidth="1"/>
  </cols>
  <sheetData>
    <row r="1" spans="1:11" x14ac:dyDescent="0.25">
      <c r="A1" s="3" t="s">
        <v>46</v>
      </c>
      <c r="B1" s="3" t="s">
        <v>47</v>
      </c>
      <c r="C1" s="3"/>
      <c r="D1" s="3"/>
      <c r="E1" s="3"/>
      <c r="F1" s="3"/>
      <c r="G1" s="3"/>
      <c r="H1" s="3"/>
      <c r="I1" s="3"/>
      <c r="J1" s="3"/>
      <c r="K1" s="3"/>
    </row>
    <row r="2" spans="1:11" x14ac:dyDescent="0.25">
      <c r="A2" s="3">
        <v>2026</v>
      </c>
      <c r="B2" s="3">
        <v>1</v>
      </c>
      <c r="C2" s="3"/>
      <c r="D2" s="3"/>
      <c r="E2" s="3"/>
      <c r="F2" s="3"/>
      <c r="G2" s="3"/>
      <c r="H2" s="3"/>
      <c r="I2" s="3"/>
      <c r="J2" s="3"/>
      <c r="K2" s="3"/>
    </row>
    <row r="3" spans="1:11" x14ac:dyDescent="0.25">
      <c r="A3" s="3"/>
      <c r="B3" s="3"/>
      <c r="C3" s="3"/>
      <c r="D3" s="3"/>
      <c r="E3" s="3"/>
      <c r="F3" s="3"/>
      <c r="G3" s="3"/>
      <c r="H3" s="3"/>
      <c r="I3" s="3"/>
      <c r="J3" s="3"/>
      <c r="K3" s="3"/>
    </row>
    <row r="4" spans="1:11" x14ac:dyDescent="0.25">
      <c r="A4" s="3" t="s">
        <v>48</v>
      </c>
      <c r="B4" s="3" t="s">
        <v>49</v>
      </c>
      <c r="C4" s="3" t="s">
        <v>50</v>
      </c>
      <c r="D4" s="3" t="s">
        <v>51</v>
      </c>
      <c r="E4" s="3" t="s">
        <v>52</v>
      </c>
      <c r="F4" s="3" t="s">
        <v>53</v>
      </c>
      <c r="G4" s="3"/>
      <c r="H4" s="3" t="s">
        <v>54</v>
      </c>
      <c r="I4" s="3"/>
      <c r="J4" s="3"/>
      <c r="K4" s="3"/>
    </row>
    <row r="5" spans="1:11" x14ac:dyDescent="0.25">
      <c r="A5" s="3" t="s">
        <v>55</v>
      </c>
      <c r="B5" s="7">
        <f>DATE(A2,B2,1)-WEEKDAY(DATE(A2,B2,1))+1</f>
        <v>46019</v>
      </c>
      <c r="C5" s="7">
        <f>B5+1</f>
        <v>46020</v>
      </c>
      <c r="D5" s="7">
        <f>C5 + 1</f>
        <v>46021</v>
      </c>
      <c r="E5" s="7">
        <f>D5+1</f>
        <v>46022</v>
      </c>
      <c r="F5" s="7">
        <f>E5+1</f>
        <v>46023</v>
      </c>
      <c r="G5" s="7">
        <f>F5+1</f>
        <v>46024</v>
      </c>
      <c r="H5" s="7">
        <f>G5+1</f>
        <v>46025</v>
      </c>
      <c r="I5" s="3"/>
      <c r="J5" s="3"/>
      <c r="K5" s="3"/>
    </row>
    <row r="6" spans="1:11" x14ac:dyDescent="0.25">
      <c r="A6" s="3" t="s">
        <v>56</v>
      </c>
      <c r="B6" s="3"/>
      <c r="C6" s="3"/>
      <c r="D6" s="3"/>
      <c r="E6" s="3"/>
      <c r="F6" s="3"/>
      <c r="G6" s="3"/>
      <c r="H6" s="3"/>
      <c r="I6" s="3"/>
      <c r="J6" s="3" t="s">
        <v>59</v>
      </c>
      <c r="K6" s="3" t="s">
        <v>60</v>
      </c>
    </row>
    <row r="7" spans="1:11" x14ac:dyDescent="0.25">
      <c r="A7" s="3">
        <v>101</v>
      </c>
      <c r="B7" s="3" t="s">
        <v>57</v>
      </c>
      <c r="C7" s="3" t="s">
        <v>58</v>
      </c>
      <c r="D7" s="3" t="s">
        <v>57</v>
      </c>
      <c r="E7" s="3" t="s">
        <v>57</v>
      </c>
      <c r="F7" s="3" t="s">
        <v>57</v>
      </c>
      <c r="G7" s="3" t="s">
        <v>57</v>
      </c>
      <c r="H7" s="3" t="s">
        <v>57</v>
      </c>
      <c r="I7" s="3"/>
      <c r="J7" s="3">
        <f>COUNTIF(B7:H7,"p")</f>
        <v>6</v>
      </c>
      <c r="K7" s="3">
        <f>COUNTIF(B7:H7,"ab")</f>
        <v>1</v>
      </c>
    </row>
    <row r="8" spans="1:11" x14ac:dyDescent="0.25">
      <c r="A8" s="3">
        <v>102</v>
      </c>
      <c r="B8" s="3" t="s">
        <v>58</v>
      </c>
      <c r="C8" s="3" t="s">
        <v>57</v>
      </c>
      <c r="D8" s="3" t="s">
        <v>58</v>
      </c>
      <c r="E8" s="3" t="s">
        <v>57</v>
      </c>
      <c r="F8" s="3" t="s">
        <v>57</v>
      </c>
      <c r="G8" s="3" t="s">
        <v>58</v>
      </c>
      <c r="H8" s="3" t="s">
        <v>57</v>
      </c>
      <c r="I8" s="3"/>
      <c r="J8" s="3">
        <f t="shared" ref="J8:J11" si="0">COUNTIF(B8:H8,"p")</f>
        <v>4</v>
      </c>
      <c r="K8" s="3">
        <f t="shared" ref="K8:K11" si="1">COUNTIF(B8:H8,"ab")</f>
        <v>3</v>
      </c>
    </row>
    <row r="9" spans="1:11" x14ac:dyDescent="0.25">
      <c r="A9" s="3">
        <v>103</v>
      </c>
      <c r="B9" s="3" t="s">
        <v>58</v>
      </c>
      <c r="C9" s="3" t="s">
        <v>57</v>
      </c>
      <c r="D9" s="3" t="s">
        <v>57</v>
      </c>
      <c r="E9" s="3" t="s">
        <v>58</v>
      </c>
      <c r="F9" s="3" t="s">
        <v>57</v>
      </c>
      <c r="G9" s="3" t="s">
        <v>57</v>
      </c>
      <c r="H9" s="3" t="s">
        <v>57</v>
      </c>
      <c r="I9" s="3"/>
      <c r="J9" s="3">
        <f t="shared" si="0"/>
        <v>5</v>
      </c>
      <c r="K9" s="3">
        <f t="shared" si="1"/>
        <v>2</v>
      </c>
    </row>
    <row r="10" spans="1:11" x14ac:dyDescent="0.25">
      <c r="A10" s="3">
        <v>104</v>
      </c>
      <c r="B10" s="3" t="s">
        <v>57</v>
      </c>
      <c r="C10" s="3" t="s">
        <v>57</v>
      </c>
      <c r="D10" s="3" t="s">
        <v>57</v>
      </c>
      <c r="E10" s="3" t="s">
        <v>57</v>
      </c>
      <c r="F10" s="3" t="s">
        <v>57</v>
      </c>
      <c r="G10" s="3" t="s">
        <v>57</v>
      </c>
      <c r="H10" s="3" t="s">
        <v>57</v>
      </c>
      <c r="I10" s="3"/>
      <c r="J10" s="3">
        <f t="shared" si="0"/>
        <v>7</v>
      </c>
      <c r="K10" s="3">
        <f t="shared" si="1"/>
        <v>0</v>
      </c>
    </row>
    <row r="11" spans="1:11" x14ac:dyDescent="0.25">
      <c r="A11" s="3">
        <v>105</v>
      </c>
      <c r="B11" s="3" t="s">
        <v>57</v>
      </c>
      <c r="C11" s="3" t="s">
        <v>58</v>
      </c>
      <c r="D11" s="3" t="s">
        <v>58</v>
      </c>
      <c r="E11" s="3" t="s">
        <v>58</v>
      </c>
      <c r="F11" s="3" t="s">
        <v>57</v>
      </c>
      <c r="G11" s="3" t="s">
        <v>58</v>
      </c>
      <c r="H11" s="3" t="s">
        <v>58</v>
      </c>
      <c r="I11" s="3"/>
      <c r="J11" s="3">
        <f t="shared" si="0"/>
        <v>2</v>
      </c>
      <c r="K11" s="3">
        <f t="shared" si="1"/>
        <v>5</v>
      </c>
    </row>
  </sheetData>
  <phoneticPr fontId="2" type="noConversion"/>
  <conditionalFormatting sqref="B7:H11">
    <cfRule type="cellIs" dxfId="0" priority="2" operator="equal">
      <formula>"AB"</formula>
    </cfRule>
    <cfRule type="cellIs" dxfId="1" priority="1" operator="equal">
      <formula>"P"</formula>
    </cfRule>
  </conditionalFormatting>
  <dataValidations count="1">
    <dataValidation type="list" allowBlank="1" showInputMessage="1" showErrorMessage="1" sqref="B7:H11" xr:uid="{6920A06F-1ED5-4737-87C7-824EA17E62A5}">
      <formula1>"P,AB"</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Sheet2</vt:lpstr>
      <vt:lpstr>Sheet3</vt:lpstr>
      <vt:lpstr>Sheet4</vt:lpstr>
      <vt:lpstr>B.Tech</vt:lpstr>
      <vt:lpstr>BBA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2026-08-25T06:48:59Z</dcterms:created>
  <dcterms:modified xsi:type="dcterms:W3CDTF">2026-09-08T07:25:23Z</dcterms:modified>
</cp:coreProperties>
</file>