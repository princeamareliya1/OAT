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AT_LAB_147\"/>
    </mc:Choice>
  </mc:AlternateContent>
  <xr:revisionPtr revIDLastSave="0" documentId="13_ncr:1_{C7EBA2A7-2DDF-4C5D-BF44-8159590FD5AB}" xr6:coauthVersionLast="47" xr6:coauthVersionMax="47" xr10:uidLastSave="{00000000-0000-0000-0000-000000000000}"/>
  <bookViews>
    <workbookView xWindow="-120" yWindow="-120" windowWidth="29040" windowHeight="15720" activeTab="1" xr2:uid="{F00DAF39-172A-4B72-BB4D-82268C2E777B}"/>
  </bookViews>
  <sheets>
    <sheet name="Sheet1" sheetId="1" r:id="rId1"/>
    <sheet name="Sheet2" sheetId="2" r:id="rId2"/>
  </sheet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2" i="1"/>
  <c r="H2" i="1"/>
  <c r="G2" i="1"/>
</calcChain>
</file>

<file path=xl/sharedStrings.xml><?xml version="1.0" encoding="utf-8"?>
<sst xmlns="http://schemas.openxmlformats.org/spreadsheetml/2006/main" count="123" uniqueCount="59">
  <si>
    <t>Name</t>
  </si>
  <si>
    <t>Age</t>
  </si>
  <si>
    <t>Department</t>
  </si>
  <si>
    <t>Salary</t>
  </si>
  <si>
    <t>Experience</t>
  </si>
  <si>
    <t>Sales</t>
  </si>
  <si>
    <t>Aarav Patel</t>
  </si>
  <si>
    <t>Diya Shah</t>
  </si>
  <si>
    <t>HR</t>
  </si>
  <si>
    <t>Rohan Mehta</t>
  </si>
  <si>
    <t>Finance</t>
  </si>
  <si>
    <t>Isha Joshi</t>
  </si>
  <si>
    <t>Marketing</t>
  </si>
  <si>
    <t>Vivaan Desai</t>
  </si>
  <si>
    <t>IT</t>
  </si>
  <si>
    <t>Anaya Trivedi</t>
  </si>
  <si>
    <t>Arjun Modi</t>
  </si>
  <si>
    <t>Operations</t>
  </si>
  <si>
    <t>Kiara Dave</t>
  </si>
  <si>
    <t>Aditya Shah</t>
  </si>
  <si>
    <t>Myra Patel</t>
  </si>
  <si>
    <t>Kabir Mehta</t>
  </si>
  <si>
    <t>Sara Joshi</t>
  </si>
  <si>
    <t>Reyansh Desai</t>
  </si>
  <si>
    <t>Aanya Modi</t>
  </si>
  <si>
    <t>Dhruv Trivedi</t>
  </si>
  <si>
    <t>Navya Dave</t>
  </si>
  <si>
    <t>Atharv Patel</t>
  </si>
  <si>
    <t>Riya Shah</t>
  </si>
  <si>
    <t>Yash Mehta</t>
  </si>
  <si>
    <t>Meera Joshi</t>
  </si>
  <si>
    <t>Krish Desai</t>
  </si>
  <si>
    <t>Tara Modi</t>
  </si>
  <si>
    <t>Rudra Trivedi</t>
  </si>
  <si>
    <t>Avni Dave</t>
  </si>
  <si>
    <t>Dev Patel</t>
  </si>
  <si>
    <t>Pihu Shah</t>
  </si>
  <si>
    <t>Manav Mehta</t>
  </si>
  <si>
    <t>Vanya Joshi</t>
  </si>
  <si>
    <t>Harsh Desai</t>
  </si>
  <si>
    <t>Aditi Modi</t>
  </si>
  <si>
    <t>Count</t>
  </si>
  <si>
    <t>Count_if</t>
  </si>
  <si>
    <t>Sum_if</t>
  </si>
  <si>
    <t>Grade</t>
  </si>
  <si>
    <t>Count_Exp</t>
  </si>
  <si>
    <t>Region</t>
  </si>
  <si>
    <t>Product</t>
  </si>
  <si>
    <t>North</t>
  </si>
  <si>
    <t>South</t>
  </si>
  <si>
    <t>East</t>
  </si>
  <si>
    <t>West</t>
  </si>
  <si>
    <t>Laptop</t>
  </si>
  <si>
    <t>Mobile</t>
  </si>
  <si>
    <t>Tablet</t>
  </si>
  <si>
    <t>Row Labels</t>
  </si>
  <si>
    <t>Grand Total</t>
  </si>
  <si>
    <t>Sum of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</si>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</sst>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Name-Sales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7E5-4177-9A4C-2D00C5C9B1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7E5-4177-9A4C-2D00C5C9B1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7E5-4177-9A4C-2D00C5C9B1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7E5-4177-9A4C-2D00C5C9B1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7E5-4177-9A4C-2D00C5C9B1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7E5-4177-9A4C-2D00C5C9B15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7E5-4177-9A4C-2D00C5C9B15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7E5-4177-9A4C-2D00C5C9B15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7E5-4177-9A4C-2D00C5C9B15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7E5-4177-9A4C-2D00C5C9B15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7E5-4177-9A4C-2D00C5C9B15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7E5-4177-9A4C-2D00C5C9B15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7E5-4177-9A4C-2D00C5C9B15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7E5-4177-9A4C-2D00C5C9B1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Sheet1!$A$2:$A$15</c:f>
              <c:strCache>
                <c:ptCount val="14"/>
                <c:pt idx="0">
                  <c:v>Aarav Patel</c:v>
                </c:pt>
                <c:pt idx="1">
                  <c:v>Diya Shah</c:v>
                </c:pt>
                <c:pt idx="2">
                  <c:v>Rohan Mehta</c:v>
                </c:pt>
                <c:pt idx="3">
                  <c:v>Isha Joshi</c:v>
                </c:pt>
                <c:pt idx="4">
                  <c:v>Vivaan Desai</c:v>
                </c:pt>
                <c:pt idx="5">
                  <c:v>Anaya Trivedi</c:v>
                </c:pt>
                <c:pt idx="6">
                  <c:v>Arjun Modi</c:v>
                </c:pt>
                <c:pt idx="7">
                  <c:v>Kiara Dave</c:v>
                </c:pt>
                <c:pt idx="8">
                  <c:v>Aditya Shah</c:v>
                </c:pt>
                <c:pt idx="9">
                  <c:v>Myra Patel</c:v>
                </c:pt>
                <c:pt idx="10">
                  <c:v>Kabir Mehta</c:v>
                </c:pt>
                <c:pt idx="11">
                  <c:v>Sara Joshi</c:v>
                </c:pt>
                <c:pt idx="12">
                  <c:v>Reyansh Desai</c:v>
                </c:pt>
                <c:pt idx="13">
                  <c:v>Aanya Modi</c:v>
                </c:pt>
              </c:strCache>
            </c:strRef>
          </c:cat>
          <c:val>
            <c:numRef>
              <c:f>Sheet1!$F$2:$F$15</c:f>
              <c:numCache>
                <c:formatCode>General</c:formatCode>
                <c:ptCount val="14"/>
                <c:pt idx="0">
                  <c:v>450</c:v>
                </c:pt>
                <c:pt idx="1">
                  <c:v>720</c:v>
                </c:pt>
                <c:pt idx="2">
                  <c:v>310</c:v>
                </c:pt>
                <c:pt idx="3">
                  <c:v>580</c:v>
                </c:pt>
                <c:pt idx="4">
                  <c:v>890</c:v>
                </c:pt>
                <c:pt idx="5">
                  <c:v>420</c:v>
                </c:pt>
                <c:pt idx="6">
                  <c:v>670</c:v>
                </c:pt>
                <c:pt idx="7">
                  <c:v>350</c:v>
                </c:pt>
                <c:pt idx="8">
                  <c:v>760</c:v>
                </c:pt>
                <c:pt idx="9">
                  <c:v>290</c:v>
                </c:pt>
                <c:pt idx="10">
                  <c:v>940</c:v>
                </c:pt>
                <c:pt idx="11">
                  <c:v>510</c:v>
                </c:pt>
                <c:pt idx="12">
                  <c:v>830</c:v>
                </c:pt>
                <c:pt idx="13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7-44C6-A458-E36F2813AB0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Name-Salary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Sheet1!$A$2:$A$15</c:f>
              <c:strCache>
                <c:ptCount val="14"/>
                <c:pt idx="0">
                  <c:v>Aarav Patel</c:v>
                </c:pt>
                <c:pt idx="1">
                  <c:v>Diya Shah</c:v>
                </c:pt>
                <c:pt idx="2">
                  <c:v>Rohan Mehta</c:v>
                </c:pt>
                <c:pt idx="3">
                  <c:v>Isha Joshi</c:v>
                </c:pt>
                <c:pt idx="4">
                  <c:v>Vivaan Desai</c:v>
                </c:pt>
                <c:pt idx="5">
                  <c:v>Anaya Trivedi</c:v>
                </c:pt>
                <c:pt idx="6">
                  <c:v>Arjun Modi</c:v>
                </c:pt>
                <c:pt idx="7">
                  <c:v>Kiara Dave</c:v>
                </c:pt>
                <c:pt idx="8">
                  <c:v>Aditya Shah</c:v>
                </c:pt>
                <c:pt idx="9">
                  <c:v>Myra Patel</c:v>
                </c:pt>
                <c:pt idx="10">
                  <c:v>Kabir Mehta</c:v>
                </c:pt>
                <c:pt idx="11">
                  <c:v>Sara Joshi</c:v>
                </c:pt>
                <c:pt idx="12">
                  <c:v>Reyansh Desai</c:v>
                </c:pt>
                <c:pt idx="13">
                  <c:v>Aanya Modi</c:v>
                </c:pt>
              </c:strCache>
            </c:strRef>
          </c:cat>
          <c:val>
            <c:numRef>
              <c:f>Sheet1!$D$2:$D$15</c:f>
              <c:numCache>
                <c:formatCode>General</c:formatCode>
                <c:ptCount val="14"/>
                <c:pt idx="0">
                  <c:v>35000</c:v>
                </c:pt>
                <c:pt idx="1">
                  <c:v>42000</c:v>
                </c:pt>
                <c:pt idx="2">
                  <c:v>58000</c:v>
                </c:pt>
                <c:pt idx="3">
                  <c:v>39000</c:v>
                </c:pt>
                <c:pt idx="4">
                  <c:v>72000</c:v>
                </c:pt>
                <c:pt idx="5">
                  <c:v>46000</c:v>
                </c:pt>
                <c:pt idx="6">
                  <c:v>51000</c:v>
                </c:pt>
                <c:pt idx="7">
                  <c:v>33000</c:v>
                </c:pt>
                <c:pt idx="8">
                  <c:v>68000</c:v>
                </c:pt>
                <c:pt idx="9">
                  <c:v>41000</c:v>
                </c:pt>
                <c:pt idx="10">
                  <c:v>62000</c:v>
                </c:pt>
                <c:pt idx="11">
                  <c:v>55000</c:v>
                </c:pt>
                <c:pt idx="12">
                  <c:v>40000</c:v>
                </c:pt>
                <c:pt idx="13">
                  <c:v>49000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1D-4881-B9AE-607396800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579373423"/>
        <c:axId val="654011519"/>
      </c:lineChart>
      <c:catAx>
        <c:axId val="57937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11519"/>
        <c:crosses val="autoZero"/>
        <c:auto val="1"/>
        <c:lblAlgn val="ctr"/>
        <c:lblOffset val="100"/>
        <c:noMultiLvlLbl val="0"/>
      </c:catAx>
      <c:valAx>
        <c:axId val="654011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373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Name-Experience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Sheet1!$A$2:$A$15</c:f>
              <c:strCache>
                <c:ptCount val="14"/>
                <c:pt idx="0">
                  <c:v>Aarav Patel</c:v>
                </c:pt>
                <c:pt idx="1">
                  <c:v>Diya Shah</c:v>
                </c:pt>
                <c:pt idx="2">
                  <c:v>Rohan Mehta</c:v>
                </c:pt>
                <c:pt idx="3">
                  <c:v>Isha Joshi</c:v>
                </c:pt>
                <c:pt idx="4">
                  <c:v>Vivaan Desai</c:v>
                </c:pt>
                <c:pt idx="5">
                  <c:v>Anaya Trivedi</c:v>
                </c:pt>
                <c:pt idx="6">
                  <c:v>Arjun Modi</c:v>
                </c:pt>
                <c:pt idx="7">
                  <c:v>Kiara Dave</c:v>
                </c:pt>
                <c:pt idx="8">
                  <c:v>Aditya Shah</c:v>
                </c:pt>
                <c:pt idx="9">
                  <c:v>Myra Patel</c:v>
                </c:pt>
                <c:pt idx="10">
                  <c:v>Kabir Mehta</c:v>
                </c:pt>
                <c:pt idx="11">
                  <c:v>Sara Joshi</c:v>
                </c:pt>
                <c:pt idx="12">
                  <c:v>Reyansh Desai</c:v>
                </c:pt>
                <c:pt idx="13">
                  <c:v>Aanya Modi</c:v>
                </c:pt>
              </c:strCache>
            </c:strRef>
          </c:cat>
          <c:val>
            <c:numRef>
              <c:f>Sheet1!$E$2:$E$15</c:f>
              <c:numCache>
                <c:formatCode>General</c:formatCode>
                <c:ptCount val="14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3</c:v>
                </c:pt>
                <c:pt idx="4">
                  <c:v>10</c:v>
                </c:pt>
                <c:pt idx="5">
                  <c:v>5</c:v>
                </c:pt>
                <c:pt idx="6">
                  <c:v>6</c:v>
                </c:pt>
                <c:pt idx="7">
                  <c:v>1</c:v>
                </c:pt>
                <c:pt idx="8">
                  <c:v>12</c:v>
                </c:pt>
                <c:pt idx="9">
                  <c:v>4</c:v>
                </c:pt>
                <c:pt idx="10">
                  <c:v>7</c:v>
                </c:pt>
                <c:pt idx="11">
                  <c:v>8</c:v>
                </c:pt>
                <c:pt idx="12">
                  <c:v>3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A-4DF3-9567-0CE5335FE6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8615103"/>
        <c:axId val="568616543"/>
      </c:barChart>
      <c:catAx>
        <c:axId val="56861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616543"/>
        <c:crosses val="autoZero"/>
        <c:auto val="1"/>
        <c:lblAlgn val="ctr"/>
        <c:lblOffset val="100"/>
        <c:noMultiLvlLbl val="0"/>
      </c:catAx>
      <c:valAx>
        <c:axId val="56861654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861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33</xdr:row>
      <xdr:rowOff>9524</xdr:rowOff>
    </xdr:from>
    <xdr:to>
      <xdr:col>6</xdr:col>
      <xdr:colOff>771525</xdr:colOff>
      <xdr:row>47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D2AEED-5B2B-490B-8E8E-3C2941441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9524</xdr:colOff>
      <xdr:row>32</xdr:row>
      <xdr:rowOff>171450</xdr:rowOff>
    </xdr:from>
    <xdr:to>
      <xdr:col>14</xdr:col>
      <xdr:colOff>600075</xdr:colOff>
      <xdr:row>47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4A223F-C271-4E5B-920D-7F2555642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9524</xdr:colOff>
      <xdr:row>33</xdr:row>
      <xdr:rowOff>9525</xdr:rowOff>
    </xdr:from>
    <xdr:to>
      <xdr:col>23</xdr:col>
      <xdr:colOff>609599</xdr:colOff>
      <xdr:row>48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98F0F4-21D8-8F61-19D8-B5AE9D260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245.551202546296" createdVersion="8" refreshedVersion="8" minRefreshableVersion="3" recordCount="12" xr:uid="{1C36D0AA-EE9A-48FE-833C-99F0797F89EA}">
  <cacheSource type="worksheet">
    <worksheetSource ref="A1:C13" sheet="Sheet2"/>
  </cacheSource>
  <cacheFields count="3"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Laptop"/>
        <s v="Mobile"/>
        <s v="Tablet"/>
      </sharedItems>
    </cacheField>
    <cacheField name="Sales" numFmtId="0">
      <sharedItems containsSemiMixedTypes="0" containsString="0" containsNumber="1" containsInteger="1" minValue="25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1"/>
    <x v="1"/>
    <n v="300"/>
  </r>
  <r>
    <x v="2"/>
    <x v="2"/>
    <n v="700"/>
  </r>
  <r>
    <x v="3"/>
    <x v="0"/>
    <n v="450"/>
  </r>
  <r>
    <x v="0"/>
    <x v="1"/>
    <n v="600"/>
  </r>
  <r>
    <x v="1"/>
    <x v="2"/>
    <n v="800"/>
  </r>
  <r>
    <x v="2"/>
    <x v="0"/>
    <n v="350"/>
  </r>
  <r>
    <x v="3"/>
    <x v="1"/>
    <n v="900"/>
  </r>
  <r>
    <x v="0"/>
    <x v="2"/>
    <n v="250"/>
  </r>
  <r>
    <x v="1"/>
    <x v="0"/>
    <n v="750"/>
  </r>
  <r>
    <x v="2"/>
    <x v="1"/>
    <n v="400"/>
  </r>
  <r>
    <x v="3"/>
    <x v="2"/>
    <n v="8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69745-5160-4334-BE4B-80BAF22AB2A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4:N19" firstHeaderRow="1" firstDataRow="2" firstDataCol="1"/>
  <pivotFields count="3"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CA192-5B03-4535-9E7C-3DBF6DFBBFD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8:J12" firstHeaderRow="1" firstDataRow="1" firstDataCol="1"/>
  <pivotFields count="3"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A24E0-4814-414B-A3A4-69DFBED8CAF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6" firstHeaderRow="1" firstDataRow="1" firstDataCol="1"/>
  <pivotFields count="3">
    <pivotField axis="axisRow" showAll="0">
      <items count="5">
        <item x="2"/>
        <item x="0"/>
        <item x="1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124E-5CC2-47F0-9993-7CFCCF60ED6A}">
  <dimension ref="A1:P50"/>
  <sheetViews>
    <sheetView workbookViewId="0">
      <selection activeCell="T17" sqref="T17"/>
    </sheetView>
  </sheetViews>
  <sheetFormatPr defaultRowHeight="15"/>
  <cols>
    <col min="1" max="1" width="18.7109375" customWidth="1"/>
    <col min="2" max="2" width="11.7109375" customWidth="1"/>
    <col min="3" max="3" width="15.7109375" customWidth="1"/>
    <col min="4" max="11" width="11.7109375" customWidth="1"/>
  </cols>
  <sheetData>
    <row r="1" spans="1:16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P1" s="4"/>
    </row>
    <row r="2" spans="1:16">
      <c r="A2" s="1" t="s">
        <v>6</v>
      </c>
      <c r="B2" s="1">
        <v>25</v>
      </c>
      <c r="C2" s="1" t="s">
        <v>5</v>
      </c>
      <c r="D2" s="1">
        <v>35000</v>
      </c>
      <c r="E2" s="1">
        <v>2</v>
      </c>
      <c r="F2" s="5">
        <v>450</v>
      </c>
      <c r="G2" s="1">
        <f>COUNTA(A2:A31)</f>
        <v>30</v>
      </c>
      <c r="H2" s="1">
        <f>COUNTIF(C2:C31,"finance")</f>
        <v>5</v>
      </c>
      <c r="I2" s="1">
        <f>SUMIF(C2:C31,"marketing",D2:D31)</f>
        <v>208000</v>
      </c>
      <c r="J2" s="1" t="str">
        <f>IF(F2&lt;=200,"Poor",IF(F2&lt;=500,"Average",IF(F2&lt;=800,"Good",IF(F2&lt;=1000,"Distinctions"))))</f>
        <v>Average</v>
      </c>
      <c r="K2" s="1">
        <f>COUNTIF(E2:E31,"&lt;8")</f>
        <v>19</v>
      </c>
      <c r="P2" s="4"/>
    </row>
    <row r="3" spans="1:16">
      <c r="A3" s="1" t="s">
        <v>7</v>
      </c>
      <c r="B3" s="1">
        <v>28</v>
      </c>
      <c r="C3" s="1" t="s">
        <v>8</v>
      </c>
      <c r="D3" s="1">
        <v>42000</v>
      </c>
      <c r="E3" s="1">
        <v>4</v>
      </c>
      <c r="F3" s="5">
        <v>720</v>
      </c>
      <c r="G3" s="1"/>
      <c r="H3" s="1"/>
      <c r="I3" s="1"/>
      <c r="J3" s="1" t="str">
        <f t="shared" ref="J3:J31" si="0">IF(F3&lt;=200,"Poor",IF(F3&lt;=500,"Average",IF(F3&lt;=800,"Good",IF(F3&lt;=1000,"Distinctions"))))</f>
        <v>Good</v>
      </c>
      <c r="K3" s="1"/>
      <c r="P3" s="4"/>
    </row>
    <row r="4" spans="1:16">
      <c r="A4" s="1" t="s">
        <v>9</v>
      </c>
      <c r="B4" s="1">
        <v>32</v>
      </c>
      <c r="C4" s="1" t="s">
        <v>10</v>
      </c>
      <c r="D4" s="1">
        <v>58000</v>
      </c>
      <c r="E4" s="1">
        <v>7</v>
      </c>
      <c r="F4" s="5">
        <v>310</v>
      </c>
      <c r="G4" s="1"/>
      <c r="H4" s="1"/>
      <c r="I4" s="1"/>
      <c r="J4" s="1" t="str">
        <f t="shared" si="0"/>
        <v>Average</v>
      </c>
      <c r="K4" s="1"/>
      <c r="P4" s="4"/>
    </row>
    <row r="5" spans="1:16">
      <c r="A5" s="1" t="s">
        <v>11</v>
      </c>
      <c r="B5" s="1">
        <v>26</v>
      </c>
      <c r="C5" s="1" t="s">
        <v>12</v>
      </c>
      <c r="D5" s="1">
        <v>39000</v>
      </c>
      <c r="E5" s="1">
        <v>3</v>
      </c>
      <c r="F5" s="5">
        <v>580</v>
      </c>
      <c r="G5" s="1"/>
      <c r="H5" s="1"/>
      <c r="I5" s="1"/>
      <c r="J5" s="1" t="str">
        <f t="shared" si="0"/>
        <v>Good</v>
      </c>
      <c r="K5" s="1"/>
      <c r="P5" s="4"/>
    </row>
    <row r="6" spans="1:16">
      <c r="A6" s="1" t="s">
        <v>13</v>
      </c>
      <c r="B6" s="1">
        <v>35</v>
      </c>
      <c r="C6" s="1" t="s">
        <v>14</v>
      </c>
      <c r="D6" s="1">
        <v>72000</v>
      </c>
      <c r="E6" s="1">
        <v>10</v>
      </c>
      <c r="F6" s="5">
        <v>890</v>
      </c>
      <c r="G6" s="1"/>
      <c r="H6" s="1"/>
      <c r="I6" s="1"/>
      <c r="J6" s="1" t="str">
        <f t="shared" si="0"/>
        <v>Distinctions</v>
      </c>
      <c r="K6" s="1"/>
      <c r="P6" s="4"/>
    </row>
    <row r="7" spans="1:16">
      <c r="A7" s="1" t="s">
        <v>15</v>
      </c>
      <c r="B7" s="1">
        <v>29</v>
      </c>
      <c r="C7" s="1" t="s">
        <v>5</v>
      </c>
      <c r="D7" s="1">
        <v>46000</v>
      </c>
      <c r="E7" s="1">
        <v>5</v>
      </c>
      <c r="F7" s="5">
        <v>420</v>
      </c>
      <c r="G7" s="1"/>
      <c r="H7" s="1"/>
      <c r="I7" s="1"/>
      <c r="J7" s="1" t="str">
        <f t="shared" si="0"/>
        <v>Average</v>
      </c>
      <c r="K7" s="1"/>
      <c r="P7" s="4"/>
    </row>
    <row r="8" spans="1:16">
      <c r="A8" s="1" t="s">
        <v>16</v>
      </c>
      <c r="B8" s="1">
        <v>31</v>
      </c>
      <c r="C8" s="1" t="s">
        <v>17</v>
      </c>
      <c r="D8" s="1">
        <v>51000</v>
      </c>
      <c r="E8" s="1">
        <v>6</v>
      </c>
      <c r="F8" s="5">
        <v>670</v>
      </c>
      <c r="G8" s="1"/>
      <c r="H8" s="1"/>
      <c r="I8" s="1"/>
      <c r="J8" s="1" t="str">
        <f t="shared" si="0"/>
        <v>Good</v>
      </c>
      <c r="K8" s="1"/>
      <c r="P8" s="4"/>
    </row>
    <row r="9" spans="1:16">
      <c r="A9" s="1" t="s">
        <v>18</v>
      </c>
      <c r="B9" s="1">
        <v>24</v>
      </c>
      <c r="C9" s="1" t="s">
        <v>8</v>
      </c>
      <c r="D9" s="1">
        <v>33000</v>
      </c>
      <c r="E9" s="1">
        <v>1</v>
      </c>
      <c r="F9" s="5">
        <v>350</v>
      </c>
      <c r="G9" s="1"/>
      <c r="H9" s="1"/>
      <c r="I9" s="1"/>
      <c r="J9" s="1" t="str">
        <f t="shared" si="0"/>
        <v>Average</v>
      </c>
      <c r="K9" s="1"/>
      <c r="P9" s="4"/>
    </row>
    <row r="10" spans="1:16">
      <c r="A10" s="1" t="s">
        <v>19</v>
      </c>
      <c r="B10" s="1">
        <v>38</v>
      </c>
      <c r="C10" s="1" t="s">
        <v>10</v>
      </c>
      <c r="D10" s="1">
        <v>68000</v>
      </c>
      <c r="E10" s="1">
        <v>12</v>
      </c>
      <c r="F10" s="5">
        <v>760</v>
      </c>
      <c r="G10" s="1"/>
      <c r="H10" s="1"/>
      <c r="I10" s="1"/>
      <c r="J10" s="1" t="str">
        <f t="shared" si="0"/>
        <v>Good</v>
      </c>
      <c r="K10" s="1"/>
      <c r="P10" s="4"/>
    </row>
    <row r="11" spans="1:16">
      <c r="A11" s="1" t="s">
        <v>20</v>
      </c>
      <c r="B11" s="1">
        <v>27</v>
      </c>
      <c r="C11" s="1" t="s">
        <v>12</v>
      </c>
      <c r="D11" s="1">
        <v>41000</v>
      </c>
      <c r="E11" s="1">
        <v>4</v>
      </c>
      <c r="F11" s="5">
        <v>290</v>
      </c>
      <c r="G11" s="1"/>
      <c r="H11" s="1"/>
      <c r="I11" s="1"/>
      <c r="J11" s="1" t="str">
        <f t="shared" si="0"/>
        <v>Average</v>
      </c>
      <c r="K11" s="1"/>
      <c r="P11" s="4"/>
    </row>
    <row r="12" spans="1:16">
      <c r="A12" s="1" t="s">
        <v>21</v>
      </c>
      <c r="B12" s="1">
        <v>30</v>
      </c>
      <c r="C12" s="1" t="s">
        <v>14</v>
      </c>
      <c r="D12" s="1">
        <v>62000</v>
      </c>
      <c r="E12" s="1">
        <v>7</v>
      </c>
      <c r="F12" s="5">
        <v>940</v>
      </c>
      <c r="G12" s="1"/>
      <c r="H12" s="1"/>
      <c r="I12" s="1"/>
      <c r="J12" s="1" t="str">
        <f t="shared" si="0"/>
        <v>Distinctions</v>
      </c>
      <c r="K12" s="1"/>
      <c r="P12" s="4"/>
    </row>
    <row r="13" spans="1:16">
      <c r="A13" s="1" t="s">
        <v>22</v>
      </c>
      <c r="B13" s="1">
        <v>33</v>
      </c>
      <c r="C13" s="1" t="s">
        <v>5</v>
      </c>
      <c r="D13" s="1">
        <v>55000</v>
      </c>
      <c r="E13" s="1">
        <v>8</v>
      </c>
      <c r="F13" s="5">
        <v>510</v>
      </c>
      <c r="G13" s="1"/>
      <c r="H13" s="1"/>
      <c r="I13" s="1"/>
      <c r="J13" s="1" t="str">
        <f t="shared" si="0"/>
        <v>Good</v>
      </c>
      <c r="K13" s="1"/>
      <c r="P13" s="4"/>
    </row>
    <row r="14" spans="1:16">
      <c r="A14" s="1" t="s">
        <v>23</v>
      </c>
      <c r="B14" s="1">
        <v>26</v>
      </c>
      <c r="C14" s="1" t="s">
        <v>17</v>
      </c>
      <c r="D14" s="1">
        <v>40000</v>
      </c>
      <c r="E14" s="1">
        <v>3</v>
      </c>
      <c r="F14" s="5">
        <v>830</v>
      </c>
      <c r="G14" s="1"/>
      <c r="H14" s="1"/>
      <c r="I14" s="1"/>
      <c r="J14" s="1" t="str">
        <f t="shared" si="0"/>
        <v>Distinctions</v>
      </c>
      <c r="K14" s="1"/>
      <c r="P14" s="4"/>
    </row>
    <row r="15" spans="1:16">
      <c r="A15" s="1" t="s">
        <v>24</v>
      </c>
      <c r="B15" s="1">
        <v>29</v>
      </c>
      <c r="C15" s="1" t="s">
        <v>10</v>
      </c>
      <c r="D15" s="1">
        <v>49000</v>
      </c>
      <c r="E15" s="1">
        <v>5</v>
      </c>
      <c r="F15" s="5">
        <v>270</v>
      </c>
      <c r="G15" s="1"/>
      <c r="H15" s="1"/>
      <c r="I15" s="1"/>
      <c r="J15" s="1" t="str">
        <f t="shared" si="0"/>
        <v>Average</v>
      </c>
      <c r="K15" s="1"/>
      <c r="P15" s="4"/>
    </row>
    <row r="16" spans="1:16">
      <c r="A16" s="1" t="s">
        <v>25</v>
      </c>
      <c r="B16" s="1">
        <v>36</v>
      </c>
      <c r="C16" s="1" t="s">
        <v>14</v>
      </c>
      <c r="D16" s="1">
        <v>75000</v>
      </c>
      <c r="E16" s="1">
        <v>11</v>
      </c>
      <c r="F16" s="5">
        <v>690</v>
      </c>
      <c r="G16" s="1"/>
      <c r="H16" s="1"/>
      <c r="I16" s="1"/>
      <c r="J16" s="1" t="str">
        <f t="shared" si="0"/>
        <v>Good</v>
      </c>
      <c r="K16" s="1"/>
      <c r="P16" s="4"/>
    </row>
    <row r="17" spans="1:16">
      <c r="A17" s="1" t="s">
        <v>26</v>
      </c>
      <c r="B17" s="1">
        <v>25</v>
      </c>
      <c r="C17" s="1" t="s">
        <v>12</v>
      </c>
      <c r="D17" s="1">
        <v>37000</v>
      </c>
      <c r="E17" s="1">
        <v>2</v>
      </c>
      <c r="F17" s="5">
        <v>480</v>
      </c>
      <c r="G17" s="1"/>
      <c r="H17" s="1"/>
      <c r="I17" s="1"/>
      <c r="J17" s="1" t="str">
        <f t="shared" si="0"/>
        <v>Average</v>
      </c>
      <c r="K17" s="1"/>
      <c r="P17" s="4"/>
    </row>
    <row r="18" spans="1:16">
      <c r="A18" s="1" t="s">
        <v>27</v>
      </c>
      <c r="B18" s="1">
        <v>34</v>
      </c>
      <c r="C18" s="1" t="s">
        <v>5</v>
      </c>
      <c r="D18" s="1">
        <v>59000</v>
      </c>
      <c r="E18" s="1">
        <v>9</v>
      </c>
      <c r="F18" s="5">
        <v>610</v>
      </c>
      <c r="G18" s="1"/>
      <c r="H18" s="1"/>
      <c r="I18" s="1"/>
      <c r="J18" s="1" t="str">
        <f t="shared" si="0"/>
        <v>Good</v>
      </c>
      <c r="K18" s="1"/>
      <c r="P18" s="4"/>
    </row>
    <row r="19" spans="1:16">
      <c r="A19" s="1" t="s">
        <v>28</v>
      </c>
      <c r="B19" s="1">
        <v>28</v>
      </c>
      <c r="C19" s="1" t="s">
        <v>8</v>
      </c>
      <c r="D19" s="1">
        <v>44000</v>
      </c>
      <c r="E19" s="1">
        <v>5</v>
      </c>
      <c r="F19" s="5">
        <v>750</v>
      </c>
      <c r="G19" s="1"/>
      <c r="H19" s="1"/>
      <c r="I19" s="1"/>
      <c r="J19" s="1" t="str">
        <f t="shared" si="0"/>
        <v>Good</v>
      </c>
      <c r="K19" s="1"/>
      <c r="P19" s="4"/>
    </row>
    <row r="20" spans="1:16">
      <c r="A20" s="1" t="s">
        <v>29</v>
      </c>
      <c r="B20" s="1">
        <v>40</v>
      </c>
      <c r="C20" s="1" t="s">
        <v>10</v>
      </c>
      <c r="D20" s="1">
        <v>82000</v>
      </c>
      <c r="E20" s="1">
        <v>15</v>
      </c>
      <c r="F20" s="5">
        <v>390</v>
      </c>
      <c r="G20" s="1"/>
      <c r="H20" s="1"/>
      <c r="I20" s="1"/>
      <c r="J20" s="1" t="str">
        <f t="shared" si="0"/>
        <v>Average</v>
      </c>
      <c r="K20" s="1"/>
      <c r="P20" s="4"/>
    </row>
    <row r="21" spans="1:16">
      <c r="A21" s="1" t="s">
        <v>30</v>
      </c>
      <c r="B21" s="1">
        <v>31</v>
      </c>
      <c r="C21" s="1" t="s">
        <v>12</v>
      </c>
      <c r="D21" s="1">
        <v>53000</v>
      </c>
      <c r="E21" s="1">
        <v>7</v>
      </c>
      <c r="F21" s="5">
        <v>820</v>
      </c>
      <c r="G21" s="1"/>
      <c r="H21" s="1"/>
      <c r="I21" s="1"/>
      <c r="J21" s="1" t="str">
        <f t="shared" si="0"/>
        <v>Distinctions</v>
      </c>
      <c r="K21" s="1"/>
      <c r="P21" s="4"/>
    </row>
    <row r="22" spans="1:16">
      <c r="A22" s="1" t="s">
        <v>31</v>
      </c>
      <c r="B22" s="1">
        <v>27</v>
      </c>
      <c r="C22" s="1" t="s">
        <v>14</v>
      </c>
      <c r="D22" s="1">
        <v>48000</v>
      </c>
      <c r="E22" s="1">
        <v>4</v>
      </c>
      <c r="F22" s="5">
        <v>560</v>
      </c>
      <c r="G22" s="1"/>
      <c r="H22" s="1"/>
      <c r="I22" s="1"/>
      <c r="J22" s="1" t="str">
        <f t="shared" si="0"/>
        <v>Good</v>
      </c>
      <c r="K22" s="1"/>
      <c r="P22" s="4"/>
    </row>
    <row r="23" spans="1:16">
      <c r="A23" s="1" t="s">
        <v>32</v>
      </c>
      <c r="B23" s="1">
        <v>35</v>
      </c>
      <c r="C23" s="1" t="s">
        <v>17</v>
      </c>
      <c r="D23" s="1">
        <v>57000</v>
      </c>
      <c r="E23" s="1">
        <v>9</v>
      </c>
      <c r="F23" s="5">
        <v>330</v>
      </c>
      <c r="G23" s="1"/>
      <c r="H23" s="1"/>
      <c r="I23" s="1"/>
      <c r="J23" s="1" t="str">
        <f t="shared" si="0"/>
        <v>Average</v>
      </c>
      <c r="K23" s="1"/>
      <c r="P23" s="4"/>
    </row>
    <row r="24" spans="1:16">
      <c r="A24" s="1" t="s">
        <v>33</v>
      </c>
      <c r="B24" s="1">
        <v>23</v>
      </c>
      <c r="C24" s="1" t="s">
        <v>5</v>
      </c>
      <c r="D24" s="1">
        <v>32000</v>
      </c>
      <c r="E24" s="1">
        <v>1</v>
      </c>
      <c r="F24" s="5">
        <v>910</v>
      </c>
      <c r="G24" s="1"/>
      <c r="H24" s="1"/>
      <c r="I24" s="1"/>
      <c r="J24" s="1" t="str">
        <f t="shared" si="0"/>
        <v>Distinctions</v>
      </c>
      <c r="K24" s="1"/>
      <c r="P24" s="4"/>
    </row>
    <row r="25" spans="1:16">
      <c r="A25" s="1" t="s">
        <v>34</v>
      </c>
      <c r="B25" s="1">
        <v>30</v>
      </c>
      <c r="C25" s="1" t="s">
        <v>8</v>
      </c>
      <c r="D25" s="1">
        <v>47000</v>
      </c>
      <c r="E25" s="1">
        <v>6</v>
      </c>
      <c r="F25" s="5">
        <v>240</v>
      </c>
      <c r="G25" s="1"/>
      <c r="H25" s="1"/>
      <c r="I25" s="1"/>
      <c r="J25" s="1" t="str">
        <f t="shared" si="0"/>
        <v>Average</v>
      </c>
      <c r="K25" s="1"/>
      <c r="P25" s="4"/>
    </row>
    <row r="26" spans="1:16">
      <c r="A26" s="1" t="s">
        <v>35</v>
      </c>
      <c r="B26" s="1">
        <v>37</v>
      </c>
      <c r="C26" s="1" t="s">
        <v>10</v>
      </c>
      <c r="D26" s="1">
        <v>71000</v>
      </c>
      <c r="E26" s="1">
        <v>12</v>
      </c>
      <c r="F26" s="5">
        <v>970</v>
      </c>
      <c r="G26" s="1"/>
      <c r="H26" s="1"/>
      <c r="I26" s="1"/>
      <c r="J26" s="1" t="str">
        <f t="shared" si="0"/>
        <v>Distinctions</v>
      </c>
      <c r="K26" s="1"/>
      <c r="P26" s="4"/>
    </row>
    <row r="27" spans="1:16">
      <c r="A27" s="1" t="s">
        <v>36</v>
      </c>
      <c r="B27" s="1">
        <v>26</v>
      </c>
      <c r="C27" s="1" t="s">
        <v>12</v>
      </c>
      <c r="D27" s="1">
        <v>38000</v>
      </c>
      <c r="E27" s="1">
        <v>3</v>
      </c>
      <c r="F27" s="5">
        <v>630</v>
      </c>
      <c r="G27" s="1"/>
      <c r="H27" s="1"/>
      <c r="I27" s="1"/>
      <c r="J27" s="1" t="str">
        <f t="shared" si="0"/>
        <v>Good</v>
      </c>
      <c r="K27" s="1"/>
      <c r="P27" s="4"/>
    </row>
    <row r="28" spans="1:16">
      <c r="A28" s="1" t="s">
        <v>37</v>
      </c>
      <c r="B28" s="1">
        <v>33</v>
      </c>
      <c r="C28" s="1" t="s">
        <v>14</v>
      </c>
      <c r="D28" s="1">
        <v>66000</v>
      </c>
      <c r="E28" s="1">
        <v>8</v>
      </c>
      <c r="F28" s="5">
        <v>710</v>
      </c>
      <c r="G28" s="1"/>
      <c r="H28" s="1"/>
      <c r="I28" s="1"/>
      <c r="J28" s="1" t="str">
        <f t="shared" si="0"/>
        <v>Good</v>
      </c>
      <c r="K28" s="1"/>
      <c r="P28" s="4"/>
    </row>
    <row r="29" spans="1:16">
      <c r="A29" s="1" t="s">
        <v>38</v>
      </c>
      <c r="B29" s="1">
        <v>29</v>
      </c>
      <c r="C29" s="1" t="s">
        <v>5</v>
      </c>
      <c r="D29" s="1">
        <v>50000</v>
      </c>
      <c r="E29" s="1">
        <v>6</v>
      </c>
      <c r="F29" s="5">
        <v>460</v>
      </c>
      <c r="G29" s="1"/>
      <c r="H29" s="1"/>
      <c r="I29" s="1"/>
      <c r="J29" s="1" t="str">
        <f t="shared" si="0"/>
        <v>Average</v>
      </c>
      <c r="K29" s="1"/>
      <c r="P29" s="4"/>
    </row>
    <row r="30" spans="1:16">
      <c r="A30" s="1" t="s">
        <v>39</v>
      </c>
      <c r="B30" s="1">
        <v>41</v>
      </c>
      <c r="C30" s="1" t="s">
        <v>17</v>
      </c>
      <c r="D30" s="1">
        <v>79000</v>
      </c>
      <c r="E30" s="1">
        <v>16</v>
      </c>
      <c r="F30" s="5">
        <v>280</v>
      </c>
      <c r="G30" s="1"/>
      <c r="H30" s="1"/>
      <c r="I30" s="1"/>
      <c r="J30" s="1" t="str">
        <f t="shared" si="0"/>
        <v>Average</v>
      </c>
      <c r="K30" s="1"/>
      <c r="P30" s="4"/>
    </row>
    <row r="31" spans="1:16">
      <c r="A31" s="1" t="s">
        <v>40</v>
      </c>
      <c r="B31" s="1">
        <v>32</v>
      </c>
      <c r="C31" s="1" t="s">
        <v>8</v>
      </c>
      <c r="D31" s="1">
        <v>52000</v>
      </c>
      <c r="E31" s="1">
        <v>8</v>
      </c>
      <c r="F31" s="5">
        <v>850</v>
      </c>
      <c r="G31" s="1"/>
      <c r="H31" s="1"/>
      <c r="I31" s="1"/>
      <c r="J31" s="1" t="str">
        <f t="shared" si="0"/>
        <v>Distinctions</v>
      </c>
      <c r="K31" s="1"/>
      <c r="P31" s="4"/>
    </row>
    <row r="32" spans="1:16">
      <c r="F32" s="4"/>
      <c r="P32" s="4"/>
    </row>
    <row r="33" spans="6:16">
      <c r="F33" s="4"/>
      <c r="P33" s="4"/>
    </row>
    <row r="34" spans="6:16">
      <c r="F34" s="4"/>
      <c r="P34" s="4"/>
    </row>
    <row r="35" spans="6:16">
      <c r="P35" s="4"/>
    </row>
    <row r="36" spans="6:16">
      <c r="P36" s="4"/>
    </row>
    <row r="37" spans="6:16">
      <c r="P37" s="4"/>
    </row>
    <row r="38" spans="6:16">
      <c r="P38" s="4"/>
    </row>
    <row r="39" spans="6:16">
      <c r="P39" s="4"/>
    </row>
    <row r="40" spans="6:16">
      <c r="P40" s="4"/>
    </row>
    <row r="41" spans="6:16">
      <c r="P41" s="4"/>
    </row>
    <row r="42" spans="6:16">
      <c r="P42" s="4"/>
    </row>
    <row r="43" spans="6:16">
      <c r="P43" s="4"/>
    </row>
    <row r="44" spans="6:16">
      <c r="P44" s="4"/>
    </row>
    <row r="45" spans="6:16">
      <c r="P45" s="4"/>
    </row>
    <row r="46" spans="6:16">
      <c r="P46" s="4"/>
    </row>
    <row r="47" spans="6:16">
      <c r="P47" s="4"/>
    </row>
    <row r="48" spans="6:16">
      <c r="P48" s="4"/>
    </row>
    <row r="49" spans="16:16">
      <c r="P49" s="4"/>
    </row>
    <row r="50" spans="16:16">
      <c r="P50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7097-53E7-409B-BE6F-DE33D191A19A}">
  <dimension ref="A1:N19"/>
  <sheetViews>
    <sheetView tabSelected="1" workbookViewId="0">
      <selection activeCell="P6" sqref="P6"/>
    </sheetView>
  </sheetViews>
  <sheetFormatPr defaultRowHeight="15"/>
  <cols>
    <col min="9" max="9" width="13.140625" bestFit="1" customWidth="1"/>
    <col min="10" max="10" width="16.28515625" bestFit="1" customWidth="1"/>
    <col min="11" max="12" width="6.140625" bestFit="1" customWidth="1"/>
    <col min="13" max="13" width="5.7109375" bestFit="1" customWidth="1"/>
    <col min="14" max="14" width="11.28515625" bestFit="1" customWidth="1"/>
  </cols>
  <sheetData>
    <row r="1" spans="1:14">
      <c r="A1" s="2" t="s">
        <v>46</v>
      </c>
      <c r="B1" s="2" t="s">
        <v>47</v>
      </c>
      <c r="C1" s="2" t="s">
        <v>5</v>
      </c>
      <c r="I1" s="6" t="s">
        <v>55</v>
      </c>
      <c r="J1" t="s">
        <v>57</v>
      </c>
    </row>
    <row r="2" spans="1:14">
      <c r="A2" s="1" t="s">
        <v>48</v>
      </c>
      <c r="B2" s="1" t="s">
        <v>52</v>
      </c>
      <c r="C2" s="1">
        <v>500</v>
      </c>
      <c r="I2" s="7" t="s">
        <v>50</v>
      </c>
      <c r="J2">
        <v>1450</v>
      </c>
    </row>
    <row r="3" spans="1:14">
      <c r="A3" s="1" t="s">
        <v>49</v>
      </c>
      <c r="B3" s="1" t="s">
        <v>53</v>
      </c>
      <c r="C3" s="1">
        <v>300</v>
      </c>
      <c r="I3" s="7" t="s">
        <v>48</v>
      </c>
      <c r="J3">
        <v>1350</v>
      </c>
    </row>
    <row r="4" spans="1:14">
      <c r="A4" s="1" t="s">
        <v>50</v>
      </c>
      <c r="B4" s="1" t="s">
        <v>54</v>
      </c>
      <c r="C4" s="1">
        <v>700</v>
      </c>
      <c r="I4" s="7" t="s">
        <v>49</v>
      </c>
      <c r="J4">
        <v>1850</v>
      </c>
    </row>
    <row r="5" spans="1:14">
      <c r="A5" s="1" t="s">
        <v>51</v>
      </c>
      <c r="B5" s="1" t="s">
        <v>52</v>
      </c>
      <c r="C5" s="1">
        <v>450</v>
      </c>
      <c r="I5" s="7" t="s">
        <v>51</v>
      </c>
      <c r="J5">
        <v>2200</v>
      </c>
    </row>
    <row r="6" spans="1:14">
      <c r="A6" s="1" t="s">
        <v>48</v>
      </c>
      <c r="B6" s="1" t="s">
        <v>53</v>
      </c>
      <c r="C6" s="1">
        <v>600</v>
      </c>
      <c r="I6" s="7" t="s">
        <v>56</v>
      </c>
      <c r="J6">
        <v>6850</v>
      </c>
    </row>
    <row r="7" spans="1:14">
      <c r="A7" s="1" t="s">
        <v>49</v>
      </c>
      <c r="B7" s="1" t="s">
        <v>54</v>
      </c>
      <c r="C7" s="1">
        <v>800</v>
      </c>
    </row>
    <row r="8" spans="1:14">
      <c r="A8" s="1" t="s">
        <v>50</v>
      </c>
      <c r="B8" s="1" t="s">
        <v>52</v>
      </c>
      <c r="C8" s="1">
        <v>350</v>
      </c>
      <c r="I8" s="6" t="s">
        <v>55</v>
      </c>
      <c r="J8" t="s">
        <v>57</v>
      </c>
    </row>
    <row r="9" spans="1:14">
      <c r="A9" s="1" t="s">
        <v>51</v>
      </c>
      <c r="B9" s="1" t="s">
        <v>53</v>
      </c>
      <c r="C9" s="1">
        <v>900</v>
      </c>
      <c r="I9" s="7" t="s">
        <v>52</v>
      </c>
      <c r="J9">
        <v>2050</v>
      </c>
    </row>
    <row r="10" spans="1:14">
      <c r="A10" s="1" t="s">
        <v>48</v>
      </c>
      <c r="B10" s="1" t="s">
        <v>54</v>
      </c>
      <c r="C10" s="1">
        <v>250</v>
      </c>
      <c r="I10" s="7" t="s">
        <v>53</v>
      </c>
      <c r="J10">
        <v>2200</v>
      </c>
    </row>
    <row r="11" spans="1:14">
      <c r="A11" s="1" t="s">
        <v>49</v>
      </c>
      <c r="B11" s="1" t="s">
        <v>52</v>
      </c>
      <c r="C11" s="1">
        <v>750</v>
      </c>
      <c r="I11" s="7" t="s">
        <v>54</v>
      </c>
      <c r="J11">
        <v>2600</v>
      </c>
    </row>
    <row r="12" spans="1:14">
      <c r="A12" s="1" t="s">
        <v>50</v>
      </c>
      <c r="B12" s="1" t="s">
        <v>53</v>
      </c>
      <c r="C12" s="1">
        <v>400</v>
      </c>
      <c r="I12" s="7" t="s">
        <v>56</v>
      </c>
      <c r="J12">
        <v>6850</v>
      </c>
    </row>
    <row r="13" spans="1:14">
      <c r="A13" s="1" t="s">
        <v>51</v>
      </c>
      <c r="B13" s="1" t="s">
        <v>54</v>
      </c>
      <c r="C13" s="1">
        <v>850</v>
      </c>
    </row>
    <row r="14" spans="1:14">
      <c r="I14" s="6" t="s">
        <v>57</v>
      </c>
      <c r="J14" s="6" t="s">
        <v>58</v>
      </c>
    </row>
    <row r="15" spans="1:14">
      <c r="I15" s="6" t="s">
        <v>55</v>
      </c>
      <c r="J15" t="s">
        <v>50</v>
      </c>
      <c r="K15" t="s">
        <v>48</v>
      </c>
      <c r="L15" t="s">
        <v>49</v>
      </c>
      <c r="M15" t="s">
        <v>51</v>
      </c>
      <c r="N15" t="s">
        <v>56</v>
      </c>
    </row>
    <row r="16" spans="1:14">
      <c r="I16" s="7" t="s">
        <v>52</v>
      </c>
      <c r="J16">
        <v>350</v>
      </c>
      <c r="K16">
        <v>500</v>
      </c>
      <c r="L16">
        <v>750</v>
      </c>
      <c r="M16">
        <v>450</v>
      </c>
      <c r="N16">
        <v>2050</v>
      </c>
    </row>
    <row r="17" spans="9:14">
      <c r="I17" s="7" t="s">
        <v>53</v>
      </c>
      <c r="J17">
        <v>400</v>
      </c>
      <c r="K17">
        <v>600</v>
      </c>
      <c r="L17">
        <v>300</v>
      </c>
      <c r="M17">
        <v>900</v>
      </c>
      <c r="N17">
        <v>2200</v>
      </c>
    </row>
    <row r="18" spans="9:14">
      <c r="I18" s="7" t="s">
        <v>54</v>
      </c>
      <c r="J18">
        <v>700</v>
      </c>
      <c r="K18">
        <v>250</v>
      </c>
      <c r="L18">
        <v>800</v>
      </c>
      <c r="M18">
        <v>850</v>
      </c>
      <c r="N18">
        <v>2600</v>
      </c>
    </row>
    <row r="19" spans="9:14">
      <c r="I19" s="7" t="s">
        <v>56</v>
      </c>
      <c r="J19">
        <v>1450</v>
      </c>
      <c r="K19">
        <v>1350</v>
      </c>
      <c r="L19">
        <v>1850</v>
      </c>
      <c r="M19">
        <v>2200</v>
      </c>
      <c r="N19">
        <v>6850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2026-08-11T06:45:43Z</dcterms:created>
  <dcterms:modified xsi:type="dcterms:W3CDTF">2026-08-11T07:47:07Z</dcterms:modified>
</cp:coreProperties>
</file>